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OA" sheetId="2" state="visible" r:id="rId4"/>
    <sheet name="Opening Balances" sheetId="3" state="visible" r:id="rId5"/>
    <sheet name="Journal" sheetId="4" state="visible" r:id="rId6"/>
    <sheet name="General Ledger" sheetId="5" state="visible" r:id="rId7"/>
    <sheet name="Trial Balance" sheetId="6" state="visible" r:id="rId8"/>
    <sheet name="Customers" sheetId="7" state="visible" r:id="rId9"/>
    <sheet name="Suppliers" sheetId="8" state="visible" r:id="rId10"/>
    <sheet name="AR AP" sheetId="9" state="visible" r:id="rId11"/>
    <sheet name="Bank" sheetId="10" state="visible" r:id="rId12"/>
    <sheet name="VAT" sheetId="11" state="visible" r:id="rId13"/>
    <sheet name="Fixed Assets" sheetId="12" state="visible" r:id="rId14"/>
    <sheet name="Adjustments" sheetId="13" state="visible" r:id="rId15"/>
    <sheet name="Income Statement" sheetId="14" state="visible" r:id="rId16"/>
    <sheet name="Balance Sheet" sheetId="15" state="visible" r:id="rId17"/>
    <sheet name="Training Progress" sheetId="16" state="visible" r:id="rId18"/>
    <sheet name="Company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<sst xmlns="http://schemas.openxmlformats.org/spreadsheetml/2006/main" count="330" uniqueCount="215">
  <si>
    <t xml:space="preserve">ملف الشركة - Company Profile</t>
  </si>
  <si>
    <t xml:space="preserve">نموذج تدريبي على دورة القيد المحاسبي المزدوج - أرقام وهمية لأغراض التدريب فقط</t>
  </si>
  <si>
    <t xml:space="preserve">اسم الشركة</t>
  </si>
  <si>
    <t xml:space="preserve">شركة التدريب المحاسبي النموذجية</t>
  </si>
  <si>
    <t xml:space="preserve">العملة</t>
  </si>
  <si>
    <t xml:space="preserve">ريال سعودي (SAR)</t>
  </si>
  <si>
    <t xml:space="preserve">تاريخ بداية المحاكاة</t>
  </si>
  <si>
    <t xml:space="preserve">2026-01-01</t>
  </si>
  <si>
    <t xml:space="preserve">تاريخ التقرير الحالي</t>
  </si>
  <si>
    <t xml:space="preserve">2026-01-31</t>
  </si>
  <si>
    <t xml:space="preserve">رأس المال المدفوع</t>
  </si>
  <si>
    <t xml:space="preserve">نسبة ضريبة الدخل التدريبية</t>
  </si>
  <si>
    <t xml:space="preserve">تعليمات التسجيل والمتابعة</t>
  </si>
  <si>
    <t xml:space="preserve">1. سجّل كل عملية مالية كقيد مزدوج في ورقة (Journal) بحيث يتساوى إجمالي المدين مع إجمالي الدائن لكل قيد.</t>
  </si>
  <si>
    <t xml:space="preserve">2. استخدم أرقام الحسابات المعتمدة في ورقة (COA) فقط عند التسجيل، ولا تُنشئ أرقام حسابات جديدة دون تحديثها هناك أولاً.</t>
  </si>
  <si>
    <t xml:space="preserve">3. تابع رصيد كل حساب أولاً بأول من ورقة (General Ledger) عبر اختيار رقم الحساب من القائمة المنسدلة.</t>
  </si>
  <si>
    <t xml:space="preserve">4. تأكد من توازن ورقة (Trial Balance) قبل إعداد القوائم المالية (Income Statement / Balance Sheet).</t>
  </si>
  <si>
    <t xml:space="preserve">5. راجع أعمار الذمم في (AR/AP) وسوّ حساب البنك في (Bank) بشكل دوري.</t>
  </si>
  <si>
    <t xml:space="preserve">6. سجّل أي مقترح تسوية في (Adjustments) وحدّث حالته بعد ترحيله كقيد في اليومية.</t>
  </si>
  <si>
    <t xml:space="preserve">7. حدّث ورقة (Training Progress) بعد إنجاز كل موضوع تدريبي، ودوّن أي حدث مهم في (Company Log).</t>
  </si>
  <si>
    <t xml:space="preserve">دليل الألوان:  أزرق = خلية إدخال يعدّلها المستخدم  |  أسود = صيغة محسوبة تلقائياً  |  أصفر = افتراض/معلمة تدريبية رئيسية  |  رمادي = عمود مساعد للحسابات (لا يُعدّل)</t>
  </si>
  <si>
    <t xml:space="preserve">دليل الحسابات - Chart of Accounts</t>
  </si>
  <si>
    <t xml:space="preserve">رقم الحساب</t>
  </si>
  <si>
    <t xml:space="preserve">اسم الحساب</t>
  </si>
  <si>
    <t xml:space="preserve">نوع الحساب</t>
  </si>
  <si>
    <t xml:space="preserve">طبيعة الرصيد</t>
  </si>
  <si>
    <t xml:space="preserve">ملاحظات</t>
  </si>
  <si>
    <t xml:space="preserve">البنك</t>
  </si>
  <si>
    <t xml:space="preserve">أصل</t>
  </si>
  <si>
    <t xml:space="preserve">مدين</t>
  </si>
  <si>
    <t xml:space="preserve">حساب بنكي رئيسي واحد للتدريب</t>
  </si>
  <si>
    <t xml:space="preserve">العملاء (المدينون)</t>
  </si>
  <si>
    <t xml:space="preserve">مرتبط بتفاصيل ورقة Customers</t>
  </si>
  <si>
    <t xml:space="preserve">المخزون</t>
  </si>
  <si>
    <t xml:space="preserve">معدات وأجهزة</t>
  </si>
  <si>
    <t xml:space="preserve">أصول ثابتة - انظر Fixed Assets</t>
  </si>
  <si>
    <t xml:space="preserve">مجمع إهلاك المعدات</t>
  </si>
  <si>
    <t xml:space="preserve">أصل مقابل (Contra)</t>
  </si>
  <si>
    <t xml:space="preserve">دائن</t>
  </si>
  <si>
    <t xml:space="preserve">يخصم من 1400</t>
  </si>
  <si>
    <t xml:space="preserve">مصروفات مدفوعة مقدماً</t>
  </si>
  <si>
    <t xml:space="preserve">ضريبة القيمة المضافة - مدخلات</t>
  </si>
  <si>
    <t xml:space="preserve">انظر ورقة VAT</t>
  </si>
  <si>
    <t xml:space="preserve">الموردون (الدائنون)</t>
  </si>
  <si>
    <t xml:space="preserve">التزام</t>
  </si>
  <si>
    <t xml:space="preserve">مرتبط بتفاصيل ورقة Suppliers</t>
  </si>
  <si>
    <t xml:space="preserve">مصروفات مستحقة</t>
  </si>
  <si>
    <t xml:space="preserve">ضريبة القيمة المضافة - مخرجات</t>
  </si>
  <si>
    <t xml:space="preserve">ضريبة الدخل مستحقة</t>
  </si>
  <si>
    <t xml:space="preserve">قرض قصير الأجل</t>
  </si>
  <si>
    <t xml:space="preserve">رأس المال</t>
  </si>
  <si>
    <t xml:space="preserve">حقوق ملكية</t>
  </si>
  <si>
    <t xml:space="preserve">الأرباح المحتجزة</t>
  </si>
  <si>
    <t xml:space="preserve">ترحّل إليه الأرباح عند الإقفال</t>
  </si>
  <si>
    <t xml:space="preserve">مسحوبات / توزيعات أرباح</t>
  </si>
  <si>
    <t xml:space="preserve">إيرادات المبيعات</t>
  </si>
  <si>
    <t xml:space="preserve">إيراد</t>
  </si>
  <si>
    <t xml:space="preserve">إيرادات أخرى</t>
  </si>
  <si>
    <t xml:space="preserve">تكلفة البضاعة المباعة</t>
  </si>
  <si>
    <t xml:space="preserve">مصروف</t>
  </si>
  <si>
    <t xml:space="preserve">رواتب وأجور</t>
  </si>
  <si>
    <t xml:space="preserve">إيجار</t>
  </si>
  <si>
    <t xml:space="preserve">خدمات (كهرباء واتصالات)</t>
  </si>
  <si>
    <t xml:space="preserve">مصروفات تسويق</t>
  </si>
  <si>
    <t xml:space="preserve">مصروفات إدارية عامة</t>
  </si>
  <si>
    <t xml:space="preserve">إهلاك</t>
  </si>
  <si>
    <t xml:space="preserve">يقابله 1450</t>
  </si>
  <si>
    <t xml:space="preserve">مصروفات تمويل (فوائد بنكية)</t>
  </si>
  <si>
    <t xml:space="preserve">الأرصدة الافتتاحية - Opening Balances</t>
  </si>
  <si>
    <t xml:space="preserve">بداية المحاكاة: 1 يناير 2026</t>
  </si>
  <si>
    <t xml:space="preserve">الإجمالي</t>
  </si>
  <si>
    <t xml:space="preserve">حالة التوازن</t>
  </si>
  <si>
    <t xml:space="preserve">دفتر اليومية - General Journal</t>
  </si>
  <si>
    <t xml:space="preserve">سجّل كل قيد بحيث يتساوى مجموع المدين مع مجموع الدائن لنفس رقم القيد</t>
  </si>
  <si>
    <t xml:space="preserve">م</t>
  </si>
  <si>
    <t xml:space="preserve">رقم القيد</t>
  </si>
  <si>
    <t xml:space="preserve">التاريخ</t>
  </si>
  <si>
    <t xml:space="preserve">كود الطرف (عميل/مورد) - اختياري</t>
  </si>
  <si>
    <t xml:space="preserve">البيان</t>
  </si>
  <si>
    <t xml:space="preserve">حالة توازن القيد</t>
  </si>
  <si>
    <t xml:space="preserve">ترتيب الحساب (مساعد)</t>
  </si>
  <si>
    <t xml:space="preserve">مفتاح البحث (مساعد)</t>
  </si>
  <si>
    <t xml:space="preserve">مثال: قيد رقم 1 بتاريخ 2026-01-05 - إيداع دفعة مقدمة من عميل: 1100 مدين 5,000 / 4100 دائن 5,000 (رقم القيد نفسه لكل من طرفي القيد)</t>
  </si>
  <si>
    <t xml:space="preserve">دفتر الأستاذ - General Ledger</t>
  </si>
  <si>
    <t xml:space="preserve">اختر رقم الحساب:</t>
  </si>
  <si>
    <t xml:space="preserve">اسم الحساب:</t>
  </si>
  <si>
    <t xml:space="preserve">نوع الحساب:</t>
  </si>
  <si>
    <t xml:space="preserve">طبيعة الرصيد:</t>
  </si>
  <si>
    <t xml:space="preserve">الرصيد الافتتاحي</t>
  </si>
  <si>
    <t xml:space="preserve">إجمالي حركة مدين</t>
  </si>
  <si>
    <t xml:space="preserve">إجمالي حركة دائن</t>
  </si>
  <si>
    <t xml:space="preserve">الرصيد الختامي</t>
  </si>
  <si>
    <t xml:space="preserve">تفاصيل حركة الحساب المرحّلة من دفتر اليومية</t>
  </si>
  <si>
    <t xml:space="preserve">الرصيد المتحرك</t>
  </si>
  <si>
    <t xml:space="preserve">ميزان المراجعة - Trial Balance</t>
  </si>
  <si>
    <t xml:space="preserve">كما في 2026-01-31</t>
  </si>
  <si>
    <t xml:space="preserve">افتتاحي مدين</t>
  </si>
  <si>
    <t xml:space="preserve">افتتاحي دائن</t>
  </si>
  <si>
    <t xml:space="preserve">حركة مدين</t>
  </si>
  <si>
    <t xml:space="preserve">حركة دائن</t>
  </si>
  <si>
    <t xml:space="preserve">ختامي مدين</t>
  </si>
  <si>
    <t xml:space="preserve">ختامي دائن</t>
  </si>
  <si>
    <t xml:space="preserve">حالة التوازن (افتتاحي/حركة/ختامي)</t>
  </si>
  <si>
    <t xml:space="preserve">العملاء - Customers</t>
  </si>
  <si>
    <t xml:space="preserve">الرمز</t>
  </si>
  <si>
    <t xml:space="preserve">اسم العميل</t>
  </si>
  <si>
    <t xml:space="preserve">رقم الهاتف</t>
  </si>
  <si>
    <t xml:space="preserve">أجل السداد الافتراضي (يوم)</t>
  </si>
  <si>
    <t xml:space="preserve">C001</t>
  </si>
  <si>
    <t xml:space="preserve">عميل تدريبي رقم 1</t>
  </si>
  <si>
    <t xml:space="preserve">05xxxxxxxx</t>
  </si>
  <si>
    <t xml:space="preserve">C002</t>
  </si>
  <si>
    <t xml:space="preserve">عميل تدريبي رقم 2</t>
  </si>
  <si>
    <t xml:space="preserve">C003</t>
  </si>
  <si>
    <t xml:space="preserve">عميل تدريبي رقم 3</t>
  </si>
  <si>
    <t xml:space="preserve">C004</t>
  </si>
  <si>
    <t xml:space="preserve">عميل تدريبي رقم 4</t>
  </si>
  <si>
    <t xml:space="preserve">C005</t>
  </si>
  <si>
    <t xml:space="preserve">عميل تدريبي رقم 5</t>
  </si>
  <si>
    <t xml:space="preserve">C006</t>
  </si>
  <si>
    <t xml:space="preserve">عميل تدريبي رقم 6</t>
  </si>
  <si>
    <t xml:space="preserve">C007</t>
  </si>
  <si>
    <t xml:space="preserve">عميل تدريبي رقم 7</t>
  </si>
  <si>
    <t xml:space="preserve">C008</t>
  </si>
  <si>
    <t xml:space="preserve">عميل تدريبي رقم 8</t>
  </si>
  <si>
    <t xml:space="preserve">C009</t>
  </si>
  <si>
    <t xml:space="preserve">عميل تدريبي رقم 9</t>
  </si>
  <si>
    <t xml:space="preserve">C010</t>
  </si>
  <si>
    <t xml:space="preserve">عميل تدريبي رقم 10</t>
  </si>
  <si>
    <t xml:space="preserve">الموردون - Suppliers</t>
  </si>
  <si>
    <t xml:space="preserve">اسم المورد</t>
  </si>
  <si>
    <t xml:space="preserve">التخصص</t>
  </si>
  <si>
    <t xml:space="preserve">S001</t>
  </si>
  <si>
    <t xml:space="preserve">مورد المعدات</t>
  </si>
  <si>
    <t xml:space="preserve">معدات</t>
  </si>
  <si>
    <t xml:space="preserve">S002</t>
  </si>
  <si>
    <t xml:space="preserve">مورد الأجهزة</t>
  </si>
  <si>
    <t xml:space="preserve">أجهزة</t>
  </si>
  <si>
    <t xml:space="preserve">S003</t>
  </si>
  <si>
    <t xml:space="preserve">مورد خدمات الربط والاتصالات</t>
  </si>
  <si>
    <t xml:space="preserve">ربط واتصالات</t>
  </si>
  <si>
    <t xml:space="preserve">S004</t>
  </si>
  <si>
    <t xml:space="preserve">المؤجّر - عقد الإيجار</t>
  </si>
  <si>
    <t xml:space="preserve">S005</t>
  </si>
  <si>
    <t xml:space="preserve">مورد الخدمات العامة</t>
  </si>
  <si>
    <t xml:space="preserve">خدمات</t>
  </si>
  <si>
    <t xml:space="preserve">أعمار الذمم - العملاء والموردون (AR / AP)</t>
  </si>
  <si>
    <t xml:space="preserve">ذمم العملاء (مدينون)</t>
  </si>
  <si>
    <t xml:space="preserve">الرصيد</t>
  </si>
  <si>
    <t xml:space="preserve">ذمم الموردين (دائنون)</t>
  </si>
  <si>
    <t xml:space="preserve">البنك - Bank Reconciliation</t>
  </si>
  <si>
    <t xml:space="preserve">حساب 1100 - كما في 2026-01-31</t>
  </si>
  <si>
    <t xml:space="preserve">رصيد الدفاتر (حساب 1100)</t>
  </si>
  <si>
    <t xml:space="preserve">رصيد كشف الحساب البنكي</t>
  </si>
  <si>
    <t xml:space="preserve">زائد: إيداعات بالطريق (لم تظهر بالكشف)</t>
  </si>
  <si>
    <t xml:space="preserve">ناقص: مدفوعات معلقة (لم تظهر بالكشف)</t>
  </si>
  <si>
    <t xml:space="preserve">رصيد الدفاتر المعدّل</t>
  </si>
  <si>
    <t xml:space="preserve">فرق المطابقة (يجب أن يكون صفراً)</t>
  </si>
  <si>
    <t xml:space="preserve">ضريبة القيمة المضافة - VAT</t>
  </si>
  <si>
    <t xml:space="preserve">المعدل التدريبي لضريبة القيمة المضافة</t>
  </si>
  <si>
    <t xml:space="preserve">ضريبة المدخلات (حساب 1600)</t>
  </si>
  <si>
    <t xml:space="preserve">ضريبة المخرجات (حساب 2300)</t>
  </si>
  <si>
    <t xml:space="preserve">صافي الفرق (مخرجات - مدخلات = مستحق للسداد)</t>
  </si>
  <si>
    <t xml:space="preserve">الأصول الثابتة - Fixed Assets</t>
  </si>
  <si>
    <t xml:space="preserve">لا توجد أصول مضافة عند بداية المحاكاة</t>
  </si>
  <si>
    <t xml:space="preserve">كود الأصل</t>
  </si>
  <si>
    <t xml:space="preserve">اسم الأصل</t>
  </si>
  <si>
    <t xml:space="preserve">تاريخ الشراء</t>
  </si>
  <si>
    <t xml:space="preserve">التكلفة</t>
  </si>
  <si>
    <t xml:space="preserve">العمر الإنتاجي (سنوات)</t>
  </si>
  <si>
    <t xml:space="preserve">طريقة الإهلاك</t>
  </si>
  <si>
    <t xml:space="preserve">الإهلاك الشهري</t>
  </si>
  <si>
    <t xml:space="preserve">مجمع الإهلاك</t>
  </si>
  <si>
    <t xml:space="preserve">صافي القيمة الدفترية</t>
  </si>
  <si>
    <t xml:space="preserve">التسويات - Adjustments</t>
  </si>
  <si>
    <t xml:space="preserve">رقم التسوية</t>
  </si>
  <si>
    <t xml:space="preserve">الوصف</t>
  </si>
  <si>
    <t xml:space="preserve">المستند المرجعي</t>
  </si>
  <si>
    <t xml:space="preserve">الحالة</t>
  </si>
  <si>
    <t xml:space="preserve">رقم القيد المرتبط</t>
  </si>
  <si>
    <t xml:space="preserve">قائمة الدخل - Income Statement</t>
  </si>
  <si>
    <t xml:space="preserve">للفترة من 2026-01-01 إلى 2026-01-31</t>
  </si>
  <si>
    <t xml:space="preserve">إجمالي الإيرادات</t>
  </si>
  <si>
    <t xml:space="preserve">إجمالي المصروفات</t>
  </si>
  <si>
    <t xml:space="preserve">صافي الربح قبل الضريبة</t>
  </si>
  <si>
    <t xml:space="preserve">ضريبة الدخل (بمعدل ورقة Company Profile)</t>
  </si>
  <si>
    <t xml:space="preserve">صافي الربح بعد الضريبة</t>
  </si>
  <si>
    <t xml:space="preserve">ملاحظة: تُعرض الضريبة هنا كتقدير فقط. تصبح مستحقة فعلياً على قائمة المركز المالي بعد تسجيل قيد تسوية بضريبة الدخل (Dr مصروف الضريبة / Cr 2400) في ورقة Journal.</t>
  </si>
  <si>
    <t xml:space="preserve">قائمة المركز المالي - Balance Sheet</t>
  </si>
  <si>
    <t xml:space="preserve">إجمالي الأصول</t>
  </si>
  <si>
    <t xml:space="preserve">إجمالي الالتزامات</t>
  </si>
  <si>
    <t xml:space="preserve">حقوق الملكية (رأس المال والأرباح المحتجزة)</t>
  </si>
  <si>
    <t xml:space="preserve">زائد: صافي ربح الفترة الحالية (قبل تسوية الضريبة)</t>
  </si>
  <si>
    <t xml:space="preserve">إجمالي حقوق الملكية</t>
  </si>
  <si>
    <t xml:space="preserve">إجمالي الالتزامات وحقوق الملكية</t>
  </si>
  <si>
    <t xml:space="preserve">حالة التوازن (الأصول = الالتزامات + حقوق الملكية)</t>
  </si>
  <si>
    <t xml:space="preserve">تقدم التدريب - Training Progress</t>
  </si>
  <si>
    <t xml:space="preserve">الموضوع التدريبي</t>
  </si>
  <si>
    <t xml:space="preserve">تاريخ البدء</t>
  </si>
  <si>
    <t xml:space="preserve">تاريخ الانتهاء</t>
  </si>
  <si>
    <t xml:space="preserve">1. أساسيات المدين والدائن وقاعدة القيد المزدوج</t>
  </si>
  <si>
    <t xml:space="preserve">لم يبدأ</t>
  </si>
  <si>
    <t xml:space="preserve">2. تسجيل القيود في دفتر اليومية (Journal)</t>
  </si>
  <si>
    <t xml:space="preserve">3. الترحيل إلى دفتر الأستاذ وإعداد ميزان المراجعة</t>
  </si>
  <si>
    <t xml:space="preserve">4. العملاء والموردون وأعمار الذمم (AR/AP)</t>
  </si>
  <si>
    <t xml:space="preserve">5. مطابقة البنك، ضريبة القيمة المضافة، والأصول الثابتة</t>
  </si>
  <si>
    <t xml:space="preserve">6. التسويات الجردية وإقفال الحسابات وإعداد القوائم المالية</t>
  </si>
  <si>
    <t xml:space="preserve">سجل الشركة - Company Log</t>
  </si>
  <si>
    <t xml:space="preserve">الإصدار</t>
  </si>
  <si>
    <t xml:space="preserve">الإجراء</t>
  </si>
  <si>
    <t xml:space="preserve">الخطوة التالية</t>
  </si>
  <si>
    <t xml:space="preserve">1.0</t>
  </si>
  <si>
    <t xml:space="preserve">تأسيس الملف</t>
  </si>
  <si>
    <t xml:space="preserve">إنشاء نموذج المحاكاة المحاسبية التدريبي بكامل أوراقه (دليل الحسابات، اليومية، الأستاذ، القوائم المالية، والعملاء والموردون).</t>
  </si>
  <si>
    <t xml:space="preserve">بدء الحالة التدريبية الأولى ومناقشة المستندات المؤيدة للقيود.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</si>
</sst>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#,##0.00;\(#,##0.00\);\-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2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5" t="n">
        <v>20000000</v>
      </c>
    </row>
    <row r="9" customFormat="false" ht="15" hidden="false" customHeight="false" outlineLevel="0" collapsed="false">
      <c r="A9" s="3" t="s">
        <v>11</v>
      </c>
      <c r="B9" s="6" t="n">
        <v>0.15</v>
      </c>
    </row>
    <row r="11" customFormat="false" ht="15" hidden="false" customHeight="true" outlineLevel="0" collapsed="false">
      <c r="A11" s="7" t="s">
        <v>12</v>
      </c>
      <c r="B11" s="7"/>
      <c r="C11" s="7"/>
    </row>
    <row r="12" customFormat="false" ht="15" hidden="false" customHeight="true" outlineLevel="0" collapsed="false">
      <c r="A12" s="8" t="s">
        <v>13</v>
      </c>
      <c r="B12" s="8"/>
      <c r="C12" s="8"/>
      <c r="D12" s="8"/>
      <c r="E12" s="8"/>
      <c r="F12" s="8"/>
    </row>
    <row r="13" customFormat="false" ht="15" hidden="false" customHeight="true" outlineLevel="0" collapsed="false">
      <c r="A13" s="8" t="s">
        <v>14</v>
      </c>
      <c r="B13" s="8"/>
      <c r="C13" s="8"/>
      <c r="D13" s="8"/>
      <c r="E13" s="8"/>
      <c r="F13" s="8"/>
    </row>
    <row r="14" customFormat="false" ht="15" hidden="false" customHeight="true" outlineLevel="0" collapsed="false">
      <c r="A14" s="8" t="s">
        <v>15</v>
      </c>
      <c r="B14" s="8"/>
      <c r="C14" s="8"/>
      <c r="D14" s="8"/>
      <c r="E14" s="8"/>
      <c r="F14" s="8"/>
    </row>
    <row r="15" customFormat="false" ht="15" hidden="false" customHeight="true" outlineLevel="0" collapsed="false">
      <c r="A15" s="8" t="s">
        <v>16</v>
      </c>
      <c r="B15" s="8"/>
      <c r="C15" s="8"/>
      <c r="D15" s="8"/>
      <c r="E15" s="8"/>
      <c r="F15" s="8"/>
    </row>
    <row r="16" customFormat="false" ht="15" hidden="false" customHeight="true" outlineLevel="0" collapsed="false">
      <c r="A16" s="8" t="s">
        <v>17</v>
      </c>
      <c r="B16" s="8"/>
      <c r="C16" s="8"/>
      <c r="D16" s="8"/>
      <c r="E16" s="8"/>
      <c r="F16" s="8"/>
    </row>
    <row r="17" customFormat="false" ht="15" hidden="false" customHeight="true" outlineLevel="0" collapsed="false">
      <c r="A17" s="8" t="s">
        <v>18</v>
      </c>
      <c r="B17" s="8"/>
      <c r="C17" s="8"/>
      <c r="D17" s="8"/>
      <c r="E17" s="8"/>
      <c r="F17" s="8"/>
    </row>
    <row r="18" customFormat="false" ht="15" hidden="false" customHeight="true" outlineLevel="0" collapsed="false">
      <c r="A18" s="8" t="s">
        <v>19</v>
      </c>
      <c r="B18" s="8"/>
      <c r="C18" s="8"/>
      <c r="D18" s="8"/>
      <c r="E18" s="8"/>
      <c r="F18" s="8"/>
    </row>
    <row r="20" customFormat="false" ht="15" hidden="false" customHeight="true" outlineLevel="0" collapsed="false">
      <c r="A20" s="2" t="s">
        <v>20</v>
      </c>
      <c r="B20" s="2"/>
      <c r="C20" s="2"/>
      <c r="D20" s="2"/>
      <c r="E20" s="2"/>
      <c r="F20" s="2"/>
    </row>
  </sheetData>
  <mergeCells count="11">
    <mergeCell ref="A1:H1"/>
    <mergeCell ref="A2:H2"/>
    <mergeCell ref="A11:C11"/>
    <mergeCell ref="A12:F12"/>
    <mergeCell ref="A13:F13"/>
    <mergeCell ref="A14:F14"/>
    <mergeCell ref="A15:F15"/>
    <mergeCell ref="A16:F16"/>
    <mergeCell ref="A17:F17"/>
    <mergeCell ref="A18:F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9" t="s">
        <v>22</v>
      </c>
      <c r="B3" s="9" t="s">
        <v>23</v>
      </c>
      <c r="C3" s="9" t="s">
        <v>24</v>
      </c>
      <c r="D3" s="9" t="s">
        <v>25</v>
      </c>
      <c r="E3" s="9" t="s">
        <v>26</v>
      </c>
    </row>
    <row r="4" customFormat="false" ht="15" hidden="false" customHeight="false" outlineLevel="0" collapsed="false">
      <c r="A4" s="10" t="n">
        <v>1100</v>
      </c>
      <c r="B4" s="11" t="s">
        <v>27</v>
      </c>
      <c r="C4" s="10" t="s">
        <v>28</v>
      </c>
      <c r="D4" s="10" t="s">
        <v>29</v>
      </c>
      <c r="E4" s="11" t="s">
        <v>30</v>
      </c>
    </row>
    <row r="5" customFormat="false" ht="15" hidden="false" customHeight="false" outlineLevel="0" collapsed="false">
      <c r="A5" s="12" t="n">
        <v>1200</v>
      </c>
      <c r="B5" s="13" t="s">
        <v>31</v>
      </c>
      <c r="C5" s="12" t="s">
        <v>28</v>
      </c>
      <c r="D5" s="12" t="s">
        <v>29</v>
      </c>
      <c r="E5" s="13" t="s">
        <v>32</v>
      </c>
    </row>
    <row r="6" customFormat="false" ht="15" hidden="false" customHeight="false" outlineLevel="0" collapsed="false">
      <c r="A6" s="10" t="n">
        <v>1300</v>
      </c>
      <c r="B6" s="11" t="s">
        <v>33</v>
      </c>
      <c r="C6" s="10" t="s">
        <v>28</v>
      </c>
      <c r="D6" s="10" t="s">
        <v>29</v>
      </c>
      <c r="E6" s="11"/>
    </row>
    <row r="7" customFormat="false" ht="15" hidden="false" customHeight="false" outlineLevel="0" collapsed="false">
      <c r="A7" s="12" t="n">
        <v>1400</v>
      </c>
      <c r="B7" s="13" t="s">
        <v>34</v>
      </c>
      <c r="C7" s="12" t="s">
        <v>28</v>
      </c>
      <c r="D7" s="12" t="s">
        <v>29</v>
      </c>
      <c r="E7" s="13" t="s">
        <v>35</v>
      </c>
    </row>
    <row r="8" customFormat="false" ht="15" hidden="false" customHeight="false" outlineLevel="0" collapsed="false">
      <c r="A8" s="10" t="n">
        <v>1450</v>
      </c>
      <c r="B8" s="11" t="s">
        <v>36</v>
      </c>
      <c r="C8" s="10" t="s">
        <v>37</v>
      </c>
      <c r="D8" s="10" t="s">
        <v>38</v>
      </c>
      <c r="E8" s="11" t="s">
        <v>39</v>
      </c>
    </row>
    <row r="9" customFormat="false" ht="15" hidden="false" customHeight="false" outlineLevel="0" collapsed="false">
      <c r="A9" s="12" t="n">
        <v>1500</v>
      </c>
      <c r="B9" s="13" t="s">
        <v>40</v>
      </c>
      <c r="C9" s="12" t="s">
        <v>28</v>
      </c>
      <c r="D9" s="12" t="s">
        <v>29</v>
      </c>
      <c r="E9" s="13"/>
    </row>
    <row r="10" customFormat="false" ht="15" hidden="false" customHeight="false" outlineLevel="0" collapsed="false">
      <c r="A10" s="10" t="n">
        <v>1600</v>
      </c>
      <c r="B10" s="11" t="s">
        <v>41</v>
      </c>
      <c r="C10" s="10" t="s">
        <v>28</v>
      </c>
      <c r="D10" s="10" t="s">
        <v>29</v>
      </c>
      <c r="E10" s="11" t="s">
        <v>42</v>
      </c>
    </row>
    <row r="11" customFormat="false" ht="15" hidden="false" customHeight="false" outlineLevel="0" collapsed="false">
      <c r="A11" s="12" t="n">
        <v>2100</v>
      </c>
      <c r="B11" s="13" t="s">
        <v>43</v>
      </c>
      <c r="C11" s="12" t="s">
        <v>44</v>
      </c>
      <c r="D11" s="12" t="s">
        <v>38</v>
      </c>
      <c r="E11" s="13" t="s">
        <v>45</v>
      </c>
    </row>
    <row r="12" customFormat="false" ht="15" hidden="false" customHeight="false" outlineLevel="0" collapsed="false">
      <c r="A12" s="10" t="n">
        <v>2200</v>
      </c>
      <c r="B12" s="11" t="s">
        <v>46</v>
      </c>
      <c r="C12" s="10" t="s">
        <v>44</v>
      </c>
      <c r="D12" s="10" t="s">
        <v>38</v>
      </c>
      <c r="E12" s="11"/>
    </row>
    <row r="13" customFormat="false" ht="15" hidden="false" customHeight="false" outlineLevel="0" collapsed="false">
      <c r="A13" s="12" t="n">
        <v>2300</v>
      </c>
      <c r="B13" s="13" t="s">
        <v>47</v>
      </c>
      <c r="C13" s="12" t="s">
        <v>44</v>
      </c>
      <c r="D13" s="12" t="s">
        <v>38</v>
      </c>
      <c r="E13" s="13" t="s">
        <v>42</v>
      </c>
    </row>
    <row r="14" customFormat="false" ht="15" hidden="false" customHeight="false" outlineLevel="0" collapsed="false">
      <c r="A14" s="10" t="n">
        <v>2400</v>
      </c>
      <c r="B14" s="11" t="s">
        <v>48</v>
      </c>
      <c r="C14" s="10" t="s">
        <v>44</v>
      </c>
      <c r="D14" s="10" t="s">
        <v>38</v>
      </c>
      <c r="E14" s="11"/>
    </row>
    <row r="15" customFormat="false" ht="15" hidden="false" customHeight="false" outlineLevel="0" collapsed="false">
      <c r="A15" s="12" t="n">
        <v>2500</v>
      </c>
      <c r="B15" s="13" t="s">
        <v>49</v>
      </c>
      <c r="C15" s="12" t="s">
        <v>44</v>
      </c>
      <c r="D15" s="12" t="s">
        <v>38</v>
      </c>
      <c r="E15" s="13"/>
    </row>
    <row r="16" customFormat="false" ht="15" hidden="false" customHeight="false" outlineLevel="0" collapsed="false">
      <c r="A16" s="10" t="n">
        <v>3100</v>
      </c>
      <c r="B16" s="11" t="s">
        <v>50</v>
      </c>
      <c r="C16" s="10" t="s">
        <v>51</v>
      </c>
      <c r="D16" s="10" t="s">
        <v>38</v>
      </c>
      <c r="E16" s="11" t="s">
        <v>10</v>
      </c>
    </row>
    <row r="17" customFormat="false" ht="15" hidden="false" customHeight="false" outlineLevel="0" collapsed="false">
      <c r="A17" s="12" t="n">
        <v>3200</v>
      </c>
      <c r="B17" s="13" t="s">
        <v>52</v>
      </c>
      <c r="C17" s="12" t="s">
        <v>51</v>
      </c>
      <c r="D17" s="12" t="s">
        <v>38</v>
      </c>
      <c r="E17" s="13" t="s">
        <v>53</v>
      </c>
    </row>
    <row r="18" customFormat="false" ht="15" hidden="false" customHeight="false" outlineLevel="0" collapsed="false">
      <c r="A18" s="10" t="n">
        <v>3300</v>
      </c>
      <c r="B18" s="11" t="s">
        <v>54</v>
      </c>
      <c r="C18" s="10" t="s">
        <v>51</v>
      </c>
      <c r="D18" s="10" t="s">
        <v>29</v>
      </c>
      <c r="E18" s="11"/>
    </row>
    <row r="19" customFormat="false" ht="15" hidden="false" customHeight="false" outlineLevel="0" collapsed="false">
      <c r="A19" s="12" t="n">
        <v>4100</v>
      </c>
      <c r="B19" s="13" t="s">
        <v>55</v>
      </c>
      <c r="C19" s="12" t="s">
        <v>56</v>
      </c>
      <c r="D19" s="12" t="s">
        <v>38</v>
      </c>
      <c r="E19" s="13"/>
    </row>
    <row r="20" customFormat="false" ht="15" hidden="false" customHeight="false" outlineLevel="0" collapsed="false">
      <c r="A20" s="10" t="n">
        <v>4200</v>
      </c>
      <c r="B20" s="11" t="s">
        <v>57</v>
      </c>
      <c r="C20" s="10" t="s">
        <v>56</v>
      </c>
      <c r="D20" s="10" t="s">
        <v>38</v>
      </c>
      <c r="E20" s="11"/>
    </row>
    <row r="21" customFormat="false" ht="15" hidden="false" customHeight="false" outlineLevel="0" collapsed="false">
      <c r="A21" s="12" t="n">
        <v>5100</v>
      </c>
      <c r="B21" s="13" t="s">
        <v>58</v>
      </c>
      <c r="C21" s="12" t="s">
        <v>59</v>
      </c>
      <c r="D21" s="12" t="s">
        <v>29</v>
      </c>
      <c r="E21" s="13"/>
    </row>
    <row r="22" customFormat="false" ht="15" hidden="false" customHeight="false" outlineLevel="0" collapsed="false">
      <c r="A22" s="10" t="n">
        <v>5200</v>
      </c>
      <c r="B22" s="11" t="s">
        <v>60</v>
      </c>
      <c r="C22" s="10" t="s">
        <v>59</v>
      </c>
      <c r="D22" s="10" t="s">
        <v>29</v>
      </c>
      <c r="E22" s="11"/>
    </row>
    <row r="23" customFormat="false" ht="15" hidden="false" customHeight="false" outlineLevel="0" collapsed="false">
      <c r="A23" s="12" t="n">
        <v>5300</v>
      </c>
      <c r="B23" s="13" t="s">
        <v>61</v>
      </c>
      <c r="C23" s="12" t="s">
        <v>59</v>
      </c>
      <c r="D23" s="12" t="s">
        <v>29</v>
      </c>
      <c r="E23" s="13"/>
    </row>
    <row r="24" customFormat="false" ht="15" hidden="false" customHeight="false" outlineLevel="0" collapsed="false">
      <c r="A24" s="10" t="n">
        <v>5400</v>
      </c>
      <c r="B24" s="11" t="s">
        <v>62</v>
      </c>
      <c r="C24" s="10" t="s">
        <v>59</v>
      </c>
      <c r="D24" s="10" t="s">
        <v>29</v>
      </c>
      <c r="E24" s="11"/>
    </row>
    <row r="25" customFormat="false" ht="15" hidden="false" customHeight="false" outlineLevel="0" collapsed="false">
      <c r="A25" s="12" t="n">
        <v>5500</v>
      </c>
      <c r="B25" s="13" t="s">
        <v>63</v>
      </c>
      <c r="C25" s="12" t="s">
        <v>59</v>
      </c>
      <c r="D25" s="12" t="s">
        <v>29</v>
      </c>
      <c r="E25" s="13"/>
    </row>
    <row r="26" customFormat="false" ht="15" hidden="false" customHeight="false" outlineLevel="0" collapsed="false">
      <c r="A26" s="10" t="n">
        <v>5600</v>
      </c>
      <c r="B26" s="11" t="s">
        <v>64</v>
      </c>
      <c r="C26" s="10" t="s">
        <v>59</v>
      </c>
      <c r="D26" s="10" t="s">
        <v>29</v>
      </c>
      <c r="E26" s="11"/>
    </row>
    <row r="27" customFormat="false" ht="15" hidden="false" customHeight="false" outlineLevel="0" collapsed="false">
      <c r="A27" s="12" t="n">
        <v>5700</v>
      </c>
      <c r="B27" s="13" t="s">
        <v>65</v>
      </c>
      <c r="C27" s="12" t="s">
        <v>59</v>
      </c>
      <c r="D27" s="12" t="s">
        <v>29</v>
      </c>
      <c r="E27" s="13" t="s">
        <v>66</v>
      </c>
    </row>
    <row r="28" customFormat="false" ht="15" hidden="false" customHeight="false" outlineLevel="0" collapsed="false">
      <c r="A28" s="10" t="n">
        <v>5800</v>
      </c>
      <c r="B28" s="11" t="s">
        <v>67</v>
      </c>
      <c r="C28" s="10" t="s">
        <v>59</v>
      </c>
      <c r="D28" s="10" t="s">
        <v>29</v>
      </c>
      <c r="E28" s="11"/>
    </row>
    <row r="30" customFormat="false" ht="15" hidden="false" customHeight="true" outlineLevel="0" collapsed="false">
      <c r="A30" s="2" t="s">
        <v>20</v>
      </c>
      <c r="B30" s="2"/>
      <c r="C30" s="2"/>
      <c r="D30" s="2"/>
      <c r="E30" s="2"/>
      <c r="F30" s="2"/>
    </row>
  </sheetData>
  <mergeCells count="2">
    <mergeCell ref="A1:H1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8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9" t="s">
        <v>22</v>
      </c>
      <c r="B4" s="9" t="s">
        <v>23</v>
      </c>
      <c r="C4" s="9" t="s">
        <v>29</v>
      </c>
      <c r="D4" s="9" t="s">
        <v>38</v>
      </c>
    </row>
    <row r="5" customFormat="false" ht="15" hidden="false" customHeight="false" outlineLevel="0" collapsed="false">
      <c r="A5" s="14" t="n">
        <v>1100</v>
      </c>
      <c r="B5" s="11" t="str">
        <f aca="false">IFERROR(INDEX(COA!$B$4:$B$28,MATCH(A5,COA!$A$4:$A$28,0)),"")</f>
        <v>البنك</v>
      </c>
      <c r="C5" s="15" t="n">
        <v>20000000</v>
      </c>
      <c r="D5" s="15" t="n">
        <v>0</v>
      </c>
    </row>
    <row r="6" customFormat="false" ht="15" hidden="false" customHeight="false" outlineLevel="0" collapsed="false">
      <c r="A6" s="14" t="n">
        <v>3100</v>
      </c>
      <c r="B6" s="11" t="str">
        <f aca="false">IFERROR(INDEX(COA!$B$4:$B$28,MATCH(A6,COA!$A$4:$A$28,0)),"")</f>
        <v>رأس المال</v>
      </c>
      <c r="C6" s="15" t="n">
        <v>0</v>
      </c>
      <c r="D6" s="15" t="n">
        <v>20000000</v>
      </c>
    </row>
    <row r="7" customFormat="false" ht="15" hidden="false" customHeight="true" outlineLevel="0" collapsed="false">
      <c r="A7" s="16" t="s">
        <v>70</v>
      </c>
      <c r="B7" s="16"/>
      <c r="C7" s="17" t="n">
        <f aca="false">SUM(C5:C6)</f>
        <v>20000000</v>
      </c>
      <c r="D7" s="17" t="n">
        <f aca="false">SUM(D5:D6)</f>
        <v>20000000</v>
      </c>
    </row>
    <row r="8" customFormat="false" ht="15" hidden="false" customHeight="true" outlineLevel="0" collapsed="false">
      <c r="A8" s="11" t="s">
        <v>71</v>
      </c>
      <c r="B8" s="11"/>
      <c r="C8" s="10" t="str">
        <f aca="false">IF(C7=D7,"متوازن","غير متوازن")</f>
        <v>متوازن</v>
      </c>
      <c r="D8" s="10"/>
    </row>
    <row r="10" customFormat="false" ht="15" hidden="false" customHeight="true" outlineLevel="0" collapsed="false">
      <c r="A10" s="2" t="s">
        <v>20</v>
      </c>
      <c r="B10" s="2"/>
      <c r="C10" s="2"/>
      <c r="D10" s="2"/>
      <c r="E10" s="2"/>
      <c r="F10" s="2"/>
    </row>
  </sheetData>
  <mergeCells count="6">
    <mergeCell ref="A1:H1"/>
    <mergeCell ref="A2:H2"/>
    <mergeCell ref="A7:B7"/>
    <mergeCell ref="A8:B8"/>
    <mergeCell ref="C8:D8"/>
    <mergeCell ref="A10:F10"/>
  </mergeCells>
  <conditionalFormatting sqref="C8:D8">
    <cfRule type="cellIs" priority="2" operator="equal" aboveAverage="0" equalAverage="0" bottom="0" percent="0" rank="0" text="" dxfId="0">
      <formula>"غير متوازن"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6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9" min="8" style="0" width="16"/>
    <col collapsed="false" customWidth="true" hidden="false" outlineLevel="0" max="12" min="10" style="0" width="14"/>
  </cols>
  <sheetData>
    <row r="1" customFormat="false" ht="25.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9" t="s">
        <v>74</v>
      </c>
      <c r="B4" s="9" t="s">
        <v>75</v>
      </c>
      <c r="C4" s="9" t="s">
        <v>76</v>
      </c>
      <c r="D4" s="9" t="s">
        <v>22</v>
      </c>
      <c r="E4" s="9" t="s">
        <v>23</v>
      </c>
      <c r="F4" s="9" t="s">
        <v>77</v>
      </c>
      <c r="G4" s="9" t="s">
        <v>78</v>
      </c>
      <c r="H4" s="9" t="s">
        <v>29</v>
      </c>
      <c r="I4" s="9" t="s">
        <v>38</v>
      </c>
      <c r="J4" s="9" t="s">
        <v>79</v>
      </c>
      <c r="K4" s="9" t="s">
        <v>80</v>
      </c>
      <c r="L4" s="9" t="s">
        <v>81</v>
      </c>
    </row>
    <row r="5" customFormat="false" ht="15" hidden="false" customHeight="false" outlineLevel="0" collapsed="false">
      <c r="A5" s="10" t="n">
        <v>1</v>
      </c>
      <c r="B5" s="18"/>
      <c r="C5" s="19"/>
      <c r="D5" s="18"/>
      <c r="E5" s="11" t="str">
        <f aca="false">IF(D5="","",IFERROR(INDEX(COA!$B$4:$B$28,MATCH(D5,COA!$A$4:$A$28,0)),"# غير موجود"))</f>
        <v/>
      </c>
      <c r="F5" s="20"/>
      <c r="G5" s="20"/>
      <c r="H5" s="21"/>
      <c r="I5" s="21"/>
      <c r="J5" s="10" t="str">
        <f aca="false">IF(B5="","",IF(ROUND(SUMIF($B$5:$B$64,B5,$H$5:$H$64)-SUMIF($B$5:$B$64,B5,$I$5:$I$64),2)=0,"متوازن","غير متوازن"))</f>
        <v/>
      </c>
      <c r="K5" s="12" t="str">
        <f aca="false">IF(D5="","",COUNTIFS($D$5:D5,D5))</f>
        <v/>
      </c>
      <c r="L5" s="12" t="str">
        <f aca="false">IF(D5="","",D5*1000+K5)</f>
        <v/>
      </c>
    </row>
    <row r="6" customFormat="false" ht="15" hidden="false" customHeight="false" outlineLevel="0" collapsed="false">
      <c r="A6" s="10" t="n">
        <v>2</v>
      </c>
      <c r="B6" s="19"/>
      <c r="C6" s="19"/>
      <c r="D6" s="19"/>
      <c r="E6" s="11" t="str">
        <f aca="false">IF(D6="","",IFERROR(INDEX(COA!$B$4:$B$28,MATCH(D6,COA!$A$4:$A$28,0)),"# غير موجود"))</f>
        <v/>
      </c>
      <c r="F6" s="20"/>
      <c r="G6" s="20"/>
      <c r="H6" s="21"/>
      <c r="I6" s="21"/>
      <c r="J6" s="10" t="str">
        <f aca="false">IF(B6="","",IF(ROUND(SUMIF($B$5:$B$64,B6,$H$5:$H$64)-SUMIF($B$5:$B$64,B6,$I$5:$I$64),2)=0,"متوازن","غير متوازن"))</f>
        <v/>
      </c>
      <c r="K6" s="12" t="str">
        <f aca="false">IF(D6="","",COUNTIFS($D$5:D6,D6))</f>
        <v/>
      </c>
      <c r="L6" s="12" t="str">
        <f aca="false">IF(D6="","",D6*1000+K6)</f>
        <v/>
      </c>
    </row>
    <row r="7" customFormat="false" ht="15" hidden="false" customHeight="false" outlineLevel="0" collapsed="false">
      <c r="A7" s="10" t="n">
        <v>3</v>
      </c>
      <c r="B7" s="19"/>
      <c r="C7" s="19"/>
      <c r="D7" s="19"/>
      <c r="E7" s="11" t="str">
        <f aca="false">IF(D7="","",IFERROR(INDEX(COA!$B$4:$B$28,MATCH(D7,COA!$A$4:$A$28,0)),"# غير موجود"))</f>
        <v/>
      </c>
      <c r="F7" s="20"/>
      <c r="G7" s="20"/>
      <c r="H7" s="21"/>
      <c r="I7" s="21"/>
      <c r="J7" s="10" t="str">
        <f aca="false">IF(B7="","",IF(ROUND(SUMIF($B$5:$B$64,B7,$H$5:$H$64)-SUMIF($B$5:$B$64,B7,$I$5:$I$64),2)=0,"متوازن","غير متوازن"))</f>
        <v/>
      </c>
      <c r="K7" s="12" t="str">
        <f aca="false">IF(D7="","",COUNTIFS($D$5:D7,D7))</f>
        <v/>
      </c>
      <c r="L7" s="12" t="str">
        <f aca="false">IF(D7="","",D7*1000+K7)</f>
        <v/>
      </c>
    </row>
    <row r="8" customFormat="false" ht="15" hidden="false" customHeight="false" outlineLevel="0" collapsed="false">
      <c r="A8" s="10" t="n">
        <v>4</v>
      </c>
      <c r="B8" s="19"/>
      <c r="C8" s="19"/>
      <c r="D8" s="19"/>
      <c r="E8" s="11" t="str">
        <f aca="false">IF(D8="","",IFERROR(INDEX(COA!$B$4:$B$28,MATCH(D8,COA!$A$4:$A$28,0)),"# غير موجود"))</f>
        <v/>
      </c>
      <c r="F8" s="20"/>
      <c r="G8" s="20"/>
      <c r="H8" s="21"/>
      <c r="I8" s="21"/>
      <c r="J8" s="10" t="str">
        <f aca="false">IF(B8="","",IF(ROUND(SUMIF($B$5:$B$64,B8,$H$5:$H$64)-SUMIF($B$5:$B$64,B8,$I$5:$I$64),2)=0,"متوازن","غير متوازن"))</f>
        <v/>
      </c>
      <c r="K8" s="12" t="str">
        <f aca="false">IF(D8="","",COUNTIFS($D$5:D8,D8))</f>
        <v/>
      </c>
      <c r="L8" s="12" t="str">
        <f aca="false">IF(D8="","",D8*1000+K8)</f>
        <v/>
      </c>
    </row>
    <row r="9" customFormat="false" ht="15" hidden="false" customHeight="false" outlineLevel="0" collapsed="false">
      <c r="A9" s="10" t="n">
        <v>5</v>
      </c>
      <c r="B9" s="19"/>
      <c r="C9" s="19"/>
      <c r="D9" s="19"/>
      <c r="E9" s="11" t="str">
        <f aca="false">IF(D9="","",IFERROR(INDEX(COA!$B$4:$B$28,MATCH(D9,COA!$A$4:$A$28,0)),"# غير موجود"))</f>
        <v/>
      </c>
      <c r="F9" s="20"/>
      <c r="G9" s="20"/>
      <c r="H9" s="21"/>
      <c r="I9" s="21"/>
      <c r="J9" s="10" t="str">
        <f aca="false">IF(B9="","",IF(ROUND(SUMIF($B$5:$B$64,B9,$H$5:$H$64)-SUMIF($B$5:$B$64,B9,$I$5:$I$64),2)=0,"متوازن","غير متوازن"))</f>
        <v/>
      </c>
      <c r="K9" s="12" t="str">
        <f aca="false">IF(D9="","",COUNTIFS($D$5:D9,D9))</f>
        <v/>
      </c>
      <c r="L9" s="12" t="str">
        <f aca="false">IF(D9="","",D9*1000+K9)</f>
        <v/>
      </c>
    </row>
    <row r="10" customFormat="false" ht="15" hidden="false" customHeight="false" outlineLevel="0" collapsed="false">
      <c r="A10" s="10" t="n">
        <v>6</v>
      </c>
      <c r="B10" s="19"/>
      <c r="C10" s="19"/>
      <c r="D10" s="19"/>
      <c r="E10" s="11" t="str">
        <f aca="false">IF(D10="","",IFERROR(INDEX(COA!$B$4:$B$28,MATCH(D10,COA!$A$4:$A$28,0)),"# غير موجود"))</f>
        <v/>
      </c>
      <c r="F10" s="20"/>
      <c r="G10" s="20"/>
      <c r="H10" s="21"/>
      <c r="I10" s="21"/>
      <c r="J10" s="10" t="str">
        <f aca="false">IF(B10="","",IF(ROUND(SUMIF($B$5:$B$64,B10,$H$5:$H$64)-SUMIF($B$5:$B$64,B10,$I$5:$I$64),2)=0,"متوازن","غير متوازن"))</f>
        <v/>
      </c>
      <c r="K10" s="12" t="str">
        <f aca="false">IF(D10="","",COUNTIFS($D$5:D10,D10))</f>
        <v/>
      </c>
      <c r="L10" s="12" t="str">
        <f aca="false">IF(D10="","",D10*1000+K10)</f>
        <v/>
      </c>
    </row>
    <row r="11" customFormat="false" ht="15" hidden="false" customHeight="false" outlineLevel="0" collapsed="false">
      <c r="A11" s="10" t="n">
        <v>7</v>
      </c>
      <c r="B11" s="19"/>
      <c r="C11" s="19"/>
      <c r="D11" s="19"/>
      <c r="E11" s="11" t="str">
        <f aca="false">IF(D11="","",IFERROR(INDEX(COA!$B$4:$B$28,MATCH(D11,COA!$A$4:$A$28,0)),"# غير موجود"))</f>
        <v/>
      </c>
      <c r="F11" s="20"/>
      <c r="G11" s="20"/>
      <c r="H11" s="21"/>
      <c r="I11" s="21"/>
      <c r="J11" s="10" t="str">
        <f aca="false">IF(B11="","",IF(ROUND(SUMIF($B$5:$B$64,B11,$H$5:$H$64)-SUMIF($B$5:$B$64,B11,$I$5:$I$64),2)=0,"متوازن","غير متوازن"))</f>
        <v/>
      </c>
      <c r="K11" s="12" t="str">
        <f aca="false">IF(D11="","",COUNTIFS($D$5:D11,D11))</f>
        <v/>
      </c>
      <c r="L11" s="12" t="str">
        <f aca="false">IF(D11="","",D11*1000+K11)</f>
        <v/>
      </c>
    </row>
    <row r="12" customFormat="false" ht="15" hidden="false" customHeight="false" outlineLevel="0" collapsed="false">
      <c r="A12" s="10" t="n">
        <v>8</v>
      </c>
      <c r="B12" s="19"/>
      <c r="C12" s="19"/>
      <c r="D12" s="19"/>
      <c r="E12" s="11" t="str">
        <f aca="false">IF(D12="","",IFERROR(INDEX(COA!$B$4:$B$28,MATCH(D12,COA!$A$4:$A$28,0)),"# غير موجود"))</f>
        <v/>
      </c>
      <c r="F12" s="20"/>
      <c r="G12" s="20"/>
      <c r="H12" s="21"/>
      <c r="I12" s="21"/>
      <c r="J12" s="10" t="str">
        <f aca="false">IF(B12="","",IF(ROUND(SUMIF($B$5:$B$64,B12,$H$5:$H$64)-SUMIF($B$5:$B$64,B12,$I$5:$I$64),2)=0,"متوازن","غير متوازن"))</f>
        <v/>
      </c>
      <c r="K12" s="12" t="str">
        <f aca="false">IF(D12="","",COUNTIFS($D$5:D12,D12))</f>
        <v/>
      </c>
      <c r="L12" s="12" t="str">
        <f aca="false">IF(D12="","",D12*1000+K12)</f>
        <v/>
      </c>
    </row>
    <row r="13" customFormat="false" ht="15" hidden="false" customHeight="false" outlineLevel="0" collapsed="false">
      <c r="A13" s="10" t="n">
        <v>9</v>
      </c>
      <c r="B13" s="19"/>
      <c r="C13" s="19"/>
      <c r="D13" s="19"/>
      <c r="E13" s="11" t="str">
        <f aca="false">IF(D13="","",IFERROR(INDEX(COA!$B$4:$B$28,MATCH(D13,COA!$A$4:$A$28,0)),"# غير موجود"))</f>
        <v/>
      </c>
      <c r="F13" s="20"/>
      <c r="G13" s="20"/>
      <c r="H13" s="21"/>
      <c r="I13" s="21"/>
      <c r="J13" s="10" t="str">
        <f aca="false">IF(B13="","",IF(ROUND(SUMIF($B$5:$B$64,B13,$H$5:$H$64)-SUMIF($B$5:$B$64,B13,$I$5:$I$64),2)=0,"متوازن","غير متوازن"))</f>
        <v/>
      </c>
      <c r="K13" s="12" t="str">
        <f aca="false">IF(D13="","",COUNTIFS($D$5:D13,D13))</f>
        <v/>
      </c>
      <c r="L13" s="12" t="str">
        <f aca="false">IF(D13="","",D13*1000+K13)</f>
        <v/>
      </c>
    </row>
    <row r="14" customFormat="false" ht="15" hidden="false" customHeight="false" outlineLevel="0" collapsed="false">
      <c r="A14" s="10" t="n">
        <v>10</v>
      </c>
      <c r="B14" s="19"/>
      <c r="C14" s="19"/>
      <c r="D14" s="19"/>
      <c r="E14" s="11" t="str">
        <f aca="false">IF(D14="","",IFERROR(INDEX(COA!$B$4:$B$28,MATCH(D14,COA!$A$4:$A$28,0)),"# غير موجود"))</f>
        <v/>
      </c>
      <c r="F14" s="20"/>
      <c r="G14" s="20"/>
      <c r="H14" s="21"/>
      <c r="I14" s="21"/>
      <c r="J14" s="10" t="str">
        <f aca="false">IF(B14="","",IF(ROUND(SUMIF($B$5:$B$64,B14,$H$5:$H$64)-SUMIF($B$5:$B$64,B14,$I$5:$I$64),2)=0,"متوازن","غير متوازن"))</f>
        <v/>
      </c>
      <c r="K14" s="12" t="str">
        <f aca="false">IF(D14="","",COUNTIFS($D$5:D14,D14))</f>
        <v/>
      </c>
      <c r="L14" s="12" t="str">
        <f aca="false">IF(D14="","",D14*1000+K14)</f>
        <v/>
      </c>
    </row>
    <row r="15" customFormat="false" ht="15" hidden="false" customHeight="false" outlineLevel="0" collapsed="false">
      <c r="A15" s="10" t="n">
        <v>11</v>
      </c>
      <c r="B15" s="19"/>
      <c r="C15" s="19"/>
      <c r="D15" s="19"/>
      <c r="E15" s="11" t="str">
        <f aca="false">IF(D15="","",IFERROR(INDEX(COA!$B$4:$B$28,MATCH(D15,COA!$A$4:$A$28,0)),"# غير موجود"))</f>
        <v/>
      </c>
      <c r="F15" s="20"/>
      <c r="G15" s="20"/>
      <c r="H15" s="21"/>
      <c r="I15" s="21"/>
      <c r="J15" s="10" t="str">
        <f aca="false">IF(B15="","",IF(ROUND(SUMIF($B$5:$B$64,B15,$H$5:$H$64)-SUMIF($B$5:$B$64,B15,$I$5:$I$64),2)=0,"متوازن","غير متوازن"))</f>
        <v/>
      </c>
      <c r="K15" s="12" t="str">
        <f aca="false">IF(D15="","",COUNTIFS($D$5:D15,D15))</f>
        <v/>
      </c>
      <c r="L15" s="12" t="str">
        <f aca="false">IF(D15="","",D15*1000+K15)</f>
        <v/>
      </c>
    </row>
    <row r="16" customFormat="false" ht="15" hidden="false" customHeight="false" outlineLevel="0" collapsed="false">
      <c r="A16" s="10" t="n">
        <v>12</v>
      </c>
      <c r="B16" s="19"/>
      <c r="C16" s="19"/>
      <c r="D16" s="19"/>
      <c r="E16" s="11" t="str">
        <f aca="false">IF(D16="","",IFERROR(INDEX(COA!$B$4:$B$28,MATCH(D16,COA!$A$4:$A$28,0)),"# غير موجود"))</f>
        <v/>
      </c>
      <c r="F16" s="20"/>
      <c r="G16" s="20"/>
      <c r="H16" s="21"/>
      <c r="I16" s="21"/>
      <c r="J16" s="10" t="str">
        <f aca="false">IF(B16="","",IF(ROUND(SUMIF($B$5:$B$64,B16,$H$5:$H$64)-SUMIF($B$5:$B$64,B16,$I$5:$I$64),2)=0,"متوازن","غير متوازن"))</f>
        <v/>
      </c>
      <c r="K16" s="12" t="str">
        <f aca="false">IF(D16="","",COUNTIFS($D$5:D16,D16))</f>
        <v/>
      </c>
      <c r="L16" s="12" t="str">
        <f aca="false">IF(D16="","",D16*1000+K16)</f>
        <v/>
      </c>
    </row>
    <row r="17" customFormat="false" ht="15" hidden="false" customHeight="false" outlineLevel="0" collapsed="false">
      <c r="A17" s="10" t="n">
        <v>13</v>
      </c>
      <c r="B17" s="19"/>
      <c r="C17" s="19"/>
      <c r="D17" s="19"/>
      <c r="E17" s="11" t="str">
        <f aca="false">IF(D17="","",IFERROR(INDEX(COA!$B$4:$B$28,MATCH(D17,COA!$A$4:$A$28,0)),"# غير موجود"))</f>
        <v/>
      </c>
      <c r="F17" s="20"/>
      <c r="G17" s="20"/>
      <c r="H17" s="21"/>
      <c r="I17" s="21"/>
      <c r="J17" s="10" t="str">
        <f aca="false">IF(B17="","",IF(ROUND(SUMIF($B$5:$B$64,B17,$H$5:$H$64)-SUMIF($B$5:$B$64,B17,$I$5:$I$64),2)=0,"متوازن","غير متوازن"))</f>
        <v/>
      </c>
      <c r="K17" s="12" t="str">
        <f aca="false">IF(D17="","",COUNTIFS($D$5:D17,D17))</f>
        <v/>
      </c>
      <c r="L17" s="12" t="str">
        <f aca="false">IF(D17="","",D17*1000+K17)</f>
        <v/>
      </c>
    </row>
    <row r="18" customFormat="false" ht="15" hidden="false" customHeight="false" outlineLevel="0" collapsed="false">
      <c r="A18" s="10" t="n">
        <v>14</v>
      </c>
      <c r="B18" s="19"/>
      <c r="C18" s="19"/>
      <c r="D18" s="19"/>
      <c r="E18" s="11" t="str">
        <f aca="false">IF(D18="","",IFERROR(INDEX(COA!$B$4:$B$28,MATCH(D18,COA!$A$4:$A$28,0)),"# غير موجود"))</f>
        <v/>
      </c>
      <c r="F18" s="20"/>
      <c r="G18" s="20"/>
      <c r="H18" s="21"/>
      <c r="I18" s="21"/>
      <c r="J18" s="10" t="str">
        <f aca="false">IF(B18="","",IF(ROUND(SUMIF($B$5:$B$64,B18,$H$5:$H$64)-SUMIF($B$5:$B$64,B18,$I$5:$I$64),2)=0,"متوازن","غير متوازن"))</f>
        <v/>
      </c>
      <c r="K18" s="12" t="str">
        <f aca="false">IF(D18="","",COUNTIFS($D$5:D18,D18))</f>
        <v/>
      </c>
      <c r="L18" s="12" t="str">
        <f aca="false">IF(D18="","",D18*1000+K18)</f>
        <v/>
      </c>
    </row>
    <row r="19" customFormat="false" ht="15" hidden="false" customHeight="false" outlineLevel="0" collapsed="false">
      <c r="A19" s="10" t="n">
        <v>15</v>
      </c>
      <c r="B19" s="19"/>
      <c r="C19" s="19"/>
      <c r="D19" s="19"/>
      <c r="E19" s="11" t="str">
        <f aca="false">IF(D19="","",IFERROR(INDEX(COA!$B$4:$B$28,MATCH(D19,COA!$A$4:$A$28,0)),"# غير موجود"))</f>
        <v/>
      </c>
      <c r="F19" s="20"/>
      <c r="G19" s="20"/>
      <c r="H19" s="21"/>
      <c r="I19" s="21"/>
      <c r="J19" s="10" t="str">
        <f aca="false">IF(B19="","",IF(ROUND(SUMIF($B$5:$B$64,B19,$H$5:$H$64)-SUMIF($B$5:$B$64,B19,$I$5:$I$64),2)=0,"متوازن","غير متوازن"))</f>
        <v/>
      </c>
      <c r="K19" s="12" t="str">
        <f aca="false">IF(D19="","",COUNTIFS($D$5:D19,D19))</f>
        <v/>
      </c>
      <c r="L19" s="12" t="str">
        <f aca="false">IF(D19="","",D19*1000+K19)</f>
        <v/>
      </c>
    </row>
    <row r="20" customFormat="false" ht="15" hidden="false" customHeight="false" outlineLevel="0" collapsed="false">
      <c r="A20" s="10" t="n">
        <v>16</v>
      </c>
      <c r="B20" s="19"/>
      <c r="C20" s="19"/>
      <c r="D20" s="19"/>
      <c r="E20" s="11" t="str">
        <f aca="false">IF(D20="","",IFERROR(INDEX(COA!$B$4:$B$28,MATCH(D20,COA!$A$4:$A$28,0)),"# غير موجود"))</f>
        <v/>
      </c>
      <c r="F20" s="20"/>
      <c r="G20" s="20"/>
      <c r="H20" s="21"/>
      <c r="I20" s="21"/>
      <c r="J20" s="10" t="str">
        <f aca="false">IF(B20="","",IF(ROUND(SUMIF($B$5:$B$64,B20,$H$5:$H$64)-SUMIF($B$5:$B$64,B20,$I$5:$I$64),2)=0,"متوازن","غير متوازن"))</f>
        <v/>
      </c>
      <c r="K20" s="12" t="str">
        <f aca="false">IF(D20="","",COUNTIFS($D$5:D20,D20))</f>
        <v/>
      </c>
      <c r="L20" s="12" t="str">
        <f aca="false">IF(D20="","",D20*1000+K20)</f>
        <v/>
      </c>
    </row>
    <row r="21" customFormat="false" ht="15" hidden="false" customHeight="false" outlineLevel="0" collapsed="false">
      <c r="A21" s="10" t="n">
        <v>17</v>
      </c>
      <c r="B21" s="19"/>
      <c r="C21" s="19"/>
      <c r="D21" s="19"/>
      <c r="E21" s="11" t="str">
        <f aca="false">IF(D21="","",IFERROR(INDEX(COA!$B$4:$B$28,MATCH(D21,COA!$A$4:$A$28,0)),"# غير موجود"))</f>
        <v/>
      </c>
      <c r="F21" s="20"/>
      <c r="G21" s="20"/>
      <c r="H21" s="21"/>
      <c r="I21" s="21"/>
      <c r="J21" s="10" t="str">
        <f aca="false">IF(B21="","",IF(ROUND(SUMIF($B$5:$B$64,B21,$H$5:$H$64)-SUMIF($B$5:$B$64,B21,$I$5:$I$64),2)=0,"متوازن","غير متوازن"))</f>
        <v/>
      </c>
      <c r="K21" s="12" t="str">
        <f aca="false">IF(D21="","",COUNTIFS($D$5:D21,D21))</f>
        <v/>
      </c>
      <c r="L21" s="12" t="str">
        <f aca="false">IF(D21="","",D21*1000+K21)</f>
        <v/>
      </c>
    </row>
    <row r="22" customFormat="false" ht="15" hidden="false" customHeight="false" outlineLevel="0" collapsed="false">
      <c r="A22" s="10" t="n">
        <v>18</v>
      </c>
      <c r="B22" s="19"/>
      <c r="C22" s="19"/>
      <c r="D22" s="19"/>
      <c r="E22" s="11" t="str">
        <f aca="false">IF(D22="","",IFERROR(INDEX(COA!$B$4:$B$28,MATCH(D22,COA!$A$4:$A$28,0)),"# غير موجود"))</f>
        <v/>
      </c>
      <c r="F22" s="20"/>
      <c r="G22" s="20"/>
      <c r="H22" s="21"/>
      <c r="I22" s="21"/>
      <c r="J22" s="10" t="str">
        <f aca="false">IF(B22="","",IF(ROUND(SUMIF($B$5:$B$64,B22,$H$5:$H$64)-SUMIF($B$5:$B$64,B22,$I$5:$I$64),2)=0,"متوازن","غير متوازن"))</f>
        <v/>
      </c>
      <c r="K22" s="12" t="str">
        <f aca="false">IF(D22="","",COUNTIFS($D$5:D22,D22))</f>
        <v/>
      </c>
      <c r="L22" s="12" t="str">
        <f aca="false">IF(D22="","",D22*1000+K22)</f>
        <v/>
      </c>
    </row>
    <row r="23" customFormat="false" ht="15" hidden="false" customHeight="false" outlineLevel="0" collapsed="false">
      <c r="A23" s="10" t="n">
        <v>19</v>
      </c>
      <c r="B23" s="19"/>
      <c r="C23" s="19"/>
      <c r="D23" s="19"/>
      <c r="E23" s="11" t="str">
        <f aca="false">IF(D23="","",IFERROR(INDEX(COA!$B$4:$B$28,MATCH(D23,COA!$A$4:$A$28,0)),"# غير موجود"))</f>
        <v/>
      </c>
      <c r="F23" s="20"/>
      <c r="G23" s="20"/>
      <c r="H23" s="21"/>
      <c r="I23" s="21"/>
      <c r="J23" s="10" t="str">
        <f aca="false">IF(B23="","",IF(ROUND(SUMIF($B$5:$B$64,B23,$H$5:$H$64)-SUMIF($B$5:$B$64,B23,$I$5:$I$64),2)=0,"متوازن","غير متوازن"))</f>
        <v/>
      </c>
      <c r="K23" s="12" t="str">
        <f aca="false">IF(D23="","",COUNTIFS($D$5:D23,D23))</f>
        <v/>
      </c>
      <c r="L23" s="12" t="str">
        <f aca="false">IF(D23="","",D23*1000+K23)</f>
        <v/>
      </c>
    </row>
    <row r="24" customFormat="false" ht="15" hidden="false" customHeight="false" outlineLevel="0" collapsed="false">
      <c r="A24" s="10" t="n">
        <v>20</v>
      </c>
      <c r="B24" s="19"/>
      <c r="C24" s="19"/>
      <c r="D24" s="19"/>
      <c r="E24" s="11" t="str">
        <f aca="false">IF(D24="","",IFERROR(INDEX(COA!$B$4:$B$28,MATCH(D24,COA!$A$4:$A$28,0)),"# غير موجود"))</f>
        <v/>
      </c>
      <c r="F24" s="20"/>
      <c r="G24" s="20"/>
      <c r="H24" s="21"/>
      <c r="I24" s="21"/>
      <c r="J24" s="10" t="str">
        <f aca="false">IF(B24="","",IF(ROUND(SUMIF($B$5:$B$64,B24,$H$5:$H$64)-SUMIF($B$5:$B$64,B24,$I$5:$I$64),2)=0,"متوازن","غير متوازن"))</f>
        <v/>
      </c>
      <c r="K24" s="12" t="str">
        <f aca="false">IF(D24="","",COUNTIFS($D$5:D24,D24))</f>
        <v/>
      </c>
      <c r="L24" s="12" t="str">
        <f aca="false">IF(D24="","",D24*1000+K24)</f>
        <v/>
      </c>
    </row>
    <row r="25" customFormat="false" ht="15" hidden="false" customHeight="false" outlineLevel="0" collapsed="false">
      <c r="A25" s="10" t="n">
        <v>21</v>
      </c>
      <c r="B25" s="19"/>
      <c r="C25" s="19"/>
      <c r="D25" s="19"/>
      <c r="E25" s="11" t="str">
        <f aca="false">IF(D25="","",IFERROR(INDEX(COA!$B$4:$B$28,MATCH(D25,COA!$A$4:$A$28,0)),"# غير موجود"))</f>
        <v/>
      </c>
      <c r="F25" s="20"/>
      <c r="G25" s="20"/>
      <c r="H25" s="21"/>
      <c r="I25" s="21"/>
      <c r="J25" s="10" t="str">
        <f aca="false">IF(B25="","",IF(ROUND(SUMIF($B$5:$B$64,B25,$H$5:$H$64)-SUMIF($B$5:$B$64,B25,$I$5:$I$64),2)=0,"متوازن","غير متوازن"))</f>
        <v/>
      </c>
      <c r="K25" s="12" t="str">
        <f aca="false">IF(D25="","",COUNTIFS($D$5:D25,D25))</f>
        <v/>
      </c>
      <c r="L25" s="12" t="str">
        <f aca="false">IF(D25="","",D25*1000+K25)</f>
        <v/>
      </c>
    </row>
    <row r="26" customFormat="false" ht="15" hidden="false" customHeight="false" outlineLevel="0" collapsed="false">
      <c r="A26" s="10" t="n">
        <v>22</v>
      </c>
      <c r="B26" s="19"/>
      <c r="C26" s="19"/>
      <c r="D26" s="19"/>
      <c r="E26" s="11" t="str">
        <f aca="false">IF(D26="","",IFERROR(INDEX(COA!$B$4:$B$28,MATCH(D26,COA!$A$4:$A$28,0)),"# غير موجود"))</f>
        <v/>
      </c>
      <c r="F26" s="20"/>
      <c r="G26" s="20"/>
      <c r="H26" s="21"/>
      <c r="I26" s="21"/>
      <c r="J26" s="10" t="str">
        <f aca="false">IF(B26="","",IF(ROUND(SUMIF($B$5:$B$64,B26,$H$5:$H$64)-SUMIF($B$5:$B$64,B26,$I$5:$I$64),2)=0,"متوازن","غير متوازن"))</f>
        <v/>
      </c>
      <c r="K26" s="12" t="str">
        <f aca="false">IF(D26="","",COUNTIFS($D$5:D26,D26))</f>
        <v/>
      </c>
      <c r="L26" s="12" t="str">
        <f aca="false">IF(D26="","",D26*1000+K26)</f>
        <v/>
      </c>
    </row>
    <row r="27" customFormat="false" ht="15" hidden="false" customHeight="false" outlineLevel="0" collapsed="false">
      <c r="A27" s="10" t="n">
        <v>23</v>
      </c>
      <c r="B27" s="19"/>
      <c r="C27" s="19"/>
      <c r="D27" s="19"/>
      <c r="E27" s="11" t="str">
        <f aca="false">IF(D27="","",IFERROR(INDEX(COA!$B$4:$B$28,MATCH(D27,COA!$A$4:$A$28,0)),"# غير موجود"))</f>
        <v/>
      </c>
      <c r="F27" s="20"/>
      <c r="G27" s="20"/>
      <c r="H27" s="21"/>
      <c r="I27" s="21"/>
      <c r="J27" s="10" t="str">
        <f aca="false">IF(B27="","",IF(ROUND(SUMIF($B$5:$B$64,B27,$H$5:$H$64)-SUMIF($B$5:$B$64,B27,$I$5:$I$64),2)=0,"متوازن","غير متوازن"))</f>
        <v/>
      </c>
      <c r="K27" s="12" t="str">
        <f aca="false">IF(D27="","",COUNTIFS($D$5:D27,D27))</f>
        <v/>
      </c>
      <c r="L27" s="12" t="str">
        <f aca="false">IF(D27="","",D27*1000+K27)</f>
        <v/>
      </c>
    </row>
    <row r="28" customFormat="false" ht="15" hidden="false" customHeight="false" outlineLevel="0" collapsed="false">
      <c r="A28" s="10" t="n">
        <v>24</v>
      </c>
      <c r="B28" s="19"/>
      <c r="C28" s="19"/>
      <c r="D28" s="19"/>
      <c r="E28" s="11" t="str">
        <f aca="false">IF(D28="","",IFERROR(INDEX(COA!$B$4:$B$28,MATCH(D28,COA!$A$4:$A$28,0)),"# غير موجود"))</f>
        <v/>
      </c>
      <c r="F28" s="20"/>
      <c r="G28" s="20"/>
      <c r="H28" s="21"/>
      <c r="I28" s="21"/>
      <c r="J28" s="10" t="str">
        <f aca="false">IF(B28="","",IF(ROUND(SUMIF($B$5:$B$64,B28,$H$5:$H$64)-SUMIF($B$5:$B$64,B28,$I$5:$I$64),2)=0,"متوازن","غير متوازن"))</f>
        <v/>
      </c>
      <c r="K28" s="12" t="str">
        <f aca="false">IF(D28="","",COUNTIFS($D$5:D28,D28))</f>
        <v/>
      </c>
      <c r="L28" s="12" t="str">
        <f aca="false">IF(D28="","",D28*1000+K28)</f>
        <v/>
      </c>
    </row>
    <row r="29" customFormat="false" ht="15" hidden="false" customHeight="false" outlineLevel="0" collapsed="false">
      <c r="A29" s="10" t="n">
        <v>25</v>
      </c>
      <c r="B29" s="19"/>
      <c r="C29" s="19"/>
      <c r="D29" s="19"/>
      <c r="E29" s="11" t="str">
        <f aca="false">IF(D29="","",IFERROR(INDEX(COA!$B$4:$B$28,MATCH(D29,COA!$A$4:$A$28,0)),"# غير موجود"))</f>
        <v/>
      </c>
      <c r="F29" s="20"/>
      <c r="G29" s="20"/>
      <c r="H29" s="21"/>
      <c r="I29" s="21"/>
      <c r="J29" s="10" t="str">
        <f aca="false">IF(B29="","",IF(ROUND(SUMIF($B$5:$B$64,B29,$H$5:$H$64)-SUMIF($B$5:$B$64,B29,$I$5:$I$64),2)=0,"متوازن","غير متوازن"))</f>
        <v/>
      </c>
      <c r="K29" s="12" t="str">
        <f aca="false">IF(D29="","",COUNTIFS($D$5:D29,D29))</f>
        <v/>
      </c>
      <c r="L29" s="12" t="str">
        <f aca="false">IF(D29="","",D29*1000+K29)</f>
        <v/>
      </c>
    </row>
    <row r="30" customFormat="false" ht="15" hidden="false" customHeight="false" outlineLevel="0" collapsed="false">
      <c r="A30" s="10" t="n">
        <v>26</v>
      </c>
      <c r="B30" s="19"/>
      <c r="C30" s="19"/>
      <c r="D30" s="19"/>
      <c r="E30" s="11" t="str">
        <f aca="false">IF(D30="","",IFERROR(INDEX(COA!$B$4:$B$28,MATCH(D30,COA!$A$4:$A$28,0)),"# غير موجود"))</f>
        <v/>
      </c>
      <c r="F30" s="20"/>
      <c r="G30" s="20"/>
      <c r="H30" s="21"/>
      <c r="I30" s="21"/>
      <c r="J30" s="10" t="str">
        <f aca="false">IF(B30="","",IF(ROUND(SUMIF($B$5:$B$64,B30,$H$5:$H$64)-SUMIF($B$5:$B$64,B30,$I$5:$I$64),2)=0,"متوازن","غير متوازن"))</f>
        <v/>
      </c>
      <c r="K30" s="12" t="str">
        <f aca="false">IF(D30="","",COUNTIFS($D$5:D30,D30))</f>
        <v/>
      </c>
      <c r="L30" s="12" t="str">
        <f aca="false">IF(D30="","",D30*1000+K30)</f>
        <v/>
      </c>
    </row>
    <row r="31" customFormat="false" ht="15" hidden="false" customHeight="false" outlineLevel="0" collapsed="false">
      <c r="A31" s="10" t="n">
        <v>27</v>
      </c>
      <c r="B31" s="19"/>
      <c r="C31" s="19"/>
      <c r="D31" s="19"/>
      <c r="E31" s="11" t="str">
        <f aca="false">IF(D31="","",IFERROR(INDEX(COA!$B$4:$B$28,MATCH(D31,COA!$A$4:$A$28,0)),"# غير موجود"))</f>
        <v/>
      </c>
      <c r="F31" s="20"/>
      <c r="G31" s="20"/>
      <c r="H31" s="21"/>
      <c r="I31" s="21"/>
      <c r="J31" s="10" t="str">
        <f aca="false">IF(B31="","",IF(ROUND(SUMIF($B$5:$B$64,B31,$H$5:$H$64)-SUMIF($B$5:$B$64,B31,$I$5:$I$64),2)=0,"متوازن","غير متوازن"))</f>
        <v/>
      </c>
      <c r="K31" s="12" t="str">
        <f aca="false">IF(D31="","",COUNTIFS($D$5:D31,D31))</f>
        <v/>
      </c>
      <c r="L31" s="12" t="str">
        <f aca="false">IF(D31="","",D31*1000+K31)</f>
        <v/>
      </c>
    </row>
    <row r="32" customFormat="false" ht="15" hidden="false" customHeight="false" outlineLevel="0" collapsed="false">
      <c r="A32" s="10" t="n">
        <v>28</v>
      </c>
      <c r="B32" s="19"/>
      <c r="C32" s="19"/>
      <c r="D32" s="19"/>
      <c r="E32" s="11" t="str">
        <f aca="false">IF(D32="","",IFERROR(INDEX(COA!$B$4:$B$28,MATCH(D32,COA!$A$4:$A$28,0)),"# غير موجود"))</f>
        <v/>
      </c>
      <c r="F32" s="20"/>
      <c r="G32" s="20"/>
      <c r="H32" s="21"/>
      <c r="I32" s="21"/>
      <c r="J32" s="10" t="str">
        <f aca="false">IF(B32="","",IF(ROUND(SUMIF($B$5:$B$64,B32,$H$5:$H$64)-SUMIF($B$5:$B$64,B32,$I$5:$I$64),2)=0,"متوازن","غير متوازن"))</f>
        <v/>
      </c>
      <c r="K32" s="12" t="str">
        <f aca="false">IF(D32="","",COUNTIFS($D$5:D32,D32))</f>
        <v/>
      </c>
      <c r="L32" s="12" t="str">
        <f aca="false">IF(D32="","",D32*1000+K32)</f>
        <v/>
      </c>
    </row>
    <row r="33" customFormat="false" ht="15" hidden="false" customHeight="false" outlineLevel="0" collapsed="false">
      <c r="A33" s="10" t="n">
        <v>29</v>
      </c>
      <c r="B33" s="19"/>
      <c r="C33" s="19"/>
      <c r="D33" s="19"/>
      <c r="E33" s="11" t="str">
        <f aca="false">IF(D33="","",IFERROR(INDEX(COA!$B$4:$B$28,MATCH(D33,COA!$A$4:$A$28,0)),"# غير موجود"))</f>
        <v/>
      </c>
      <c r="F33" s="20"/>
      <c r="G33" s="20"/>
      <c r="H33" s="21"/>
      <c r="I33" s="21"/>
      <c r="J33" s="10" t="str">
        <f aca="false">IF(B33="","",IF(ROUND(SUMIF($B$5:$B$64,B33,$H$5:$H$64)-SUMIF($B$5:$B$64,B33,$I$5:$I$64),2)=0,"متوازن","غير متوازن"))</f>
        <v/>
      </c>
      <c r="K33" s="12" t="str">
        <f aca="false">IF(D33="","",COUNTIFS($D$5:D33,D33))</f>
        <v/>
      </c>
      <c r="L33" s="12" t="str">
        <f aca="false">IF(D33="","",D33*1000+K33)</f>
        <v/>
      </c>
    </row>
    <row r="34" customFormat="false" ht="15" hidden="false" customHeight="false" outlineLevel="0" collapsed="false">
      <c r="A34" s="10" t="n">
        <v>30</v>
      </c>
      <c r="B34" s="19"/>
      <c r="C34" s="19"/>
      <c r="D34" s="19"/>
      <c r="E34" s="11" t="str">
        <f aca="false">IF(D34="","",IFERROR(INDEX(COA!$B$4:$B$28,MATCH(D34,COA!$A$4:$A$28,0)),"# غير موجود"))</f>
        <v/>
      </c>
      <c r="F34" s="20"/>
      <c r="G34" s="20"/>
      <c r="H34" s="21"/>
      <c r="I34" s="21"/>
      <c r="J34" s="10" t="str">
        <f aca="false">IF(B34="","",IF(ROUND(SUMIF($B$5:$B$64,B34,$H$5:$H$64)-SUMIF($B$5:$B$64,B34,$I$5:$I$64),2)=0,"متوازن","غير متوازن"))</f>
        <v/>
      </c>
      <c r="K34" s="12" t="str">
        <f aca="false">IF(D34="","",COUNTIFS($D$5:D34,D34))</f>
        <v/>
      </c>
      <c r="L34" s="12" t="str">
        <f aca="false">IF(D34="","",D34*1000+K34)</f>
        <v/>
      </c>
    </row>
    <row r="35" customFormat="false" ht="15" hidden="false" customHeight="false" outlineLevel="0" collapsed="false">
      <c r="A35" s="10" t="n">
        <v>31</v>
      </c>
      <c r="B35" s="19"/>
      <c r="C35" s="19"/>
      <c r="D35" s="19"/>
      <c r="E35" s="11" t="str">
        <f aca="false">IF(D35="","",IFERROR(INDEX(COA!$B$4:$B$28,MATCH(D35,COA!$A$4:$A$28,0)),"# غير موجود"))</f>
        <v/>
      </c>
      <c r="F35" s="20"/>
      <c r="G35" s="20"/>
      <c r="H35" s="21"/>
      <c r="I35" s="21"/>
      <c r="J35" s="10" t="str">
        <f aca="false">IF(B35="","",IF(ROUND(SUMIF($B$5:$B$64,B35,$H$5:$H$64)-SUMIF($B$5:$B$64,B35,$I$5:$I$64),2)=0,"متوازن","غير متوازن"))</f>
        <v/>
      </c>
      <c r="K35" s="12" t="str">
        <f aca="false">IF(D35="","",COUNTIFS($D$5:D35,D35))</f>
        <v/>
      </c>
      <c r="L35" s="12" t="str">
        <f aca="false">IF(D35="","",D35*1000+K35)</f>
        <v/>
      </c>
    </row>
    <row r="36" customFormat="false" ht="15" hidden="false" customHeight="false" outlineLevel="0" collapsed="false">
      <c r="A36" s="10" t="n">
        <v>32</v>
      </c>
      <c r="B36" s="19"/>
      <c r="C36" s="19"/>
      <c r="D36" s="19"/>
      <c r="E36" s="11" t="str">
        <f aca="false">IF(D36="","",IFERROR(INDEX(COA!$B$4:$B$28,MATCH(D36,COA!$A$4:$A$28,0)),"# غير موجود"))</f>
        <v/>
      </c>
      <c r="F36" s="20"/>
      <c r="G36" s="20"/>
      <c r="H36" s="21"/>
      <c r="I36" s="21"/>
      <c r="J36" s="10" t="str">
        <f aca="false">IF(B36="","",IF(ROUND(SUMIF($B$5:$B$64,B36,$H$5:$H$64)-SUMIF($B$5:$B$64,B36,$I$5:$I$64),2)=0,"متوازن","غير متوازن"))</f>
        <v/>
      </c>
      <c r="K36" s="12" t="str">
        <f aca="false">IF(D36="","",COUNTIFS($D$5:D36,D36))</f>
        <v/>
      </c>
      <c r="L36" s="12" t="str">
        <f aca="false">IF(D36="","",D36*1000+K36)</f>
        <v/>
      </c>
    </row>
    <row r="37" customFormat="false" ht="15" hidden="false" customHeight="false" outlineLevel="0" collapsed="false">
      <c r="A37" s="10" t="n">
        <v>33</v>
      </c>
      <c r="B37" s="19"/>
      <c r="C37" s="19"/>
      <c r="D37" s="19"/>
      <c r="E37" s="11" t="str">
        <f aca="false">IF(D37="","",IFERROR(INDEX(COA!$B$4:$B$28,MATCH(D37,COA!$A$4:$A$28,0)),"# غير موجود"))</f>
        <v/>
      </c>
      <c r="F37" s="20"/>
      <c r="G37" s="20"/>
      <c r="H37" s="21"/>
      <c r="I37" s="21"/>
      <c r="J37" s="10" t="str">
        <f aca="false">IF(B37="","",IF(ROUND(SUMIF($B$5:$B$64,B37,$H$5:$H$64)-SUMIF($B$5:$B$64,B37,$I$5:$I$64),2)=0,"متوازن","غير متوازن"))</f>
        <v/>
      </c>
      <c r="K37" s="12" t="str">
        <f aca="false">IF(D37="","",COUNTIFS($D$5:D37,D37))</f>
        <v/>
      </c>
      <c r="L37" s="12" t="str">
        <f aca="false">IF(D37="","",D37*1000+K37)</f>
        <v/>
      </c>
    </row>
    <row r="38" customFormat="false" ht="15" hidden="false" customHeight="false" outlineLevel="0" collapsed="false">
      <c r="A38" s="10" t="n">
        <v>34</v>
      </c>
      <c r="B38" s="19"/>
      <c r="C38" s="19"/>
      <c r="D38" s="19"/>
      <c r="E38" s="11" t="str">
        <f aca="false">IF(D38="","",IFERROR(INDEX(COA!$B$4:$B$28,MATCH(D38,COA!$A$4:$A$28,0)),"# غير موجود"))</f>
        <v/>
      </c>
      <c r="F38" s="20"/>
      <c r="G38" s="20"/>
      <c r="H38" s="21"/>
      <c r="I38" s="21"/>
      <c r="J38" s="10" t="str">
        <f aca="false">IF(B38="","",IF(ROUND(SUMIF($B$5:$B$64,B38,$H$5:$H$64)-SUMIF($B$5:$B$64,B38,$I$5:$I$64),2)=0,"متوازن","غير متوازن"))</f>
        <v/>
      </c>
      <c r="K38" s="12" t="str">
        <f aca="false">IF(D38="","",COUNTIFS($D$5:D38,D38))</f>
        <v/>
      </c>
      <c r="L38" s="12" t="str">
        <f aca="false">IF(D38="","",D38*1000+K38)</f>
        <v/>
      </c>
    </row>
    <row r="39" customFormat="false" ht="15" hidden="false" customHeight="false" outlineLevel="0" collapsed="false">
      <c r="A39" s="10" t="n">
        <v>35</v>
      </c>
      <c r="B39" s="19"/>
      <c r="C39" s="19"/>
      <c r="D39" s="19"/>
      <c r="E39" s="11" t="str">
        <f aca="false">IF(D39="","",IFERROR(INDEX(COA!$B$4:$B$28,MATCH(D39,COA!$A$4:$A$28,0)),"# غير موجود"))</f>
        <v/>
      </c>
      <c r="F39" s="20"/>
      <c r="G39" s="20"/>
      <c r="H39" s="21"/>
      <c r="I39" s="21"/>
      <c r="J39" s="10" t="str">
        <f aca="false">IF(B39="","",IF(ROUND(SUMIF($B$5:$B$64,B39,$H$5:$H$64)-SUMIF($B$5:$B$64,B39,$I$5:$I$64),2)=0,"متوازن","غير متوازن"))</f>
        <v/>
      </c>
      <c r="K39" s="12" t="str">
        <f aca="false">IF(D39="","",COUNTIFS($D$5:D39,D39))</f>
        <v/>
      </c>
      <c r="L39" s="12" t="str">
        <f aca="false">IF(D39="","",D39*1000+K39)</f>
        <v/>
      </c>
    </row>
    <row r="40" customFormat="false" ht="15" hidden="false" customHeight="false" outlineLevel="0" collapsed="false">
      <c r="A40" s="10" t="n">
        <v>36</v>
      </c>
      <c r="B40" s="19"/>
      <c r="C40" s="19"/>
      <c r="D40" s="19"/>
      <c r="E40" s="11" t="str">
        <f aca="false">IF(D40="","",IFERROR(INDEX(COA!$B$4:$B$28,MATCH(D40,COA!$A$4:$A$28,0)),"# غير موجود"))</f>
        <v/>
      </c>
      <c r="F40" s="20"/>
      <c r="G40" s="20"/>
      <c r="H40" s="21"/>
      <c r="I40" s="21"/>
      <c r="J40" s="10" t="str">
        <f aca="false">IF(B40="","",IF(ROUND(SUMIF($B$5:$B$64,B40,$H$5:$H$64)-SUMIF($B$5:$B$64,B40,$I$5:$I$64),2)=0,"متوازن","غير متوازن"))</f>
        <v/>
      </c>
      <c r="K40" s="12" t="str">
        <f aca="false">IF(D40="","",COUNTIFS($D$5:D40,D40))</f>
        <v/>
      </c>
      <c r="L40" s="12" t="str">
        <f aca="false">IF(D40="","",D40*1000+K40)</f>
        <v/>
      </c>
    </row>
    <row r="41" customFormat="false" ht="15" hidden="false" customHeight="false" outlineLevel="0" collapsed="false">
      <c r="A41" s="10" t="n">
        <v>37</v>
      </c>
      <c r="B41" s="19"/>
      <c r="C41" s="19"/>
      <c r="D41" s="19"/>
      <c r="E41" s="11" t="str">
        <f aca="false">IF(D41="","",IFERROR(INDEX(COA!$B$4:$B$28,MATCH(D41,COA!$A$4:$A$28,0)),"# غير موجود"))</f>
        <v/>
      </c>
      <c r="F41" s="20"/>
      <c r="G41" s="20"/>
      <c r="H41" s="21"/>
      <c r="I41" s="21"/>
      <c r="J41" s="10" t="str">
        <f aca="false">IF(B41="","",IF(ROUND(SUMIF($B$5:$B$64,B41,$H$5:$H$64)-SUMIF($B$5:$B$64,B41,$I$5:$I$64),2)=0,"متوازن","غير متوازن"))</f>
        <v/>
      </c>
      <c r="K41" s="12" t="str">
        <f aca="false">IF(D41="","",COUNTIFS($D$5:D41,D41))</f>
        <v/>
      </c>
      <c r="L41" s="12" t="str">
        <f aca="false">IF(D41="","",D41*1000+K41)</f>
        <v/>
      </c>
    </row>
    <row r="42" customFormat="false" ht="15" hidden="false" customHeight="false" outlineLevel="0" collapsed="false">
      <c r="A42" s="10" t="n">
        <v>38</v>
      </c>
      <c r="B42" s="19"/>
      <c r="C42" s="19"/>
      <c r="D42" s="19"/>
      <c r="E42" s="11" t="str">
        <f aca="false">IF(D42="","",IFERROR(INDEX(COA!$B$4:$B$28,MATCH(D42,COA!$A$4:$A$28,0)),"# غير موجود"))</f>
        <v/>
      </c>
      <c r="F42" s="20"/>
      <c r="G42" s="20"/>
      <c r="H42" s="21"/>
      <c r="I42" s="21"/>
      <c r="J42" s="10" t="str">
        <f aca="false">IF(B42="","",IF(ROUND(SUMIF($B$5:$B$64,B42,$H$5:$H$64)-SUMIF($B$5:$B$64,B42,$I$5:$I$64),2)=0,"متوازن","غير متوازن"))</f>
        <v/>
      </c>
      <c r="K42" s="12" t="str">
        <f aca="false">IF(D42="","",COUNTIFS($D$5:D42,D42))</f>
        <v/>
      </c>
      <c r="L42" s="12" t="str">
        <f aca="false">IF(D42="","",D42*1000+K42)</f>
        <v/>
      </c>
    </row>
    <row r="43" customFormat="false" ht="15" hidden="false" customHeight="false" outlineLevel="0" collapsed="false">
      <c r="A43" s="10" t="n">
        <v>39</v>
      </c>
      <c r="B43" s="19"/>
      <c r="C43" s="19"/>
      <c r="D43" s="19"/>
      <c r="E43" s="11" t="str">
        <f aca="false">IF(D43="","",IFERROR(INDEX(COA!$B$4:$B$28,MATCH(D43,COA!$A$4:$A$28,0)),"# غير موجود"))</f>
        <v/>
      </c>
      <c r="F43" s="20"/>
      <c r="G43" s="20"/>
      <c r="H43" s="21"/>
      <c r="I43" s="21"/>
      <c r="J43" s="10" t="str">
        <f aca="false">IF(B43="","",IF(ROUND(SUMIF($B$5:$B$64,B43,$H$5:$H$64)-SUMIF($B$5:$B$64,B43,$I$5:$I$64),2)=0,"متوازن","غير متوازن"))</f>
        <v/>
      </c>
      <c r="K43" s="12" t="str">
        <f aca="false">IF(D43="","",COUNTIFS($D$5:D43,D43))</f>
        <v/>
      </c>
      <c r="L43" s="12" t="str">
        <f aca="false">IF(D43="","",D43*1000+K43)</f>
        <v/>
      </c>
    </row>
    <row r="44" customFormat="false" ht="15" hidden="false" customHeight="false" outlineLevel="0" collapsed="false">
      <c r="A44" s="10" t="n">
        <v>40</v>
      </c>
      <c r="B44" s="19"/>
      <c r="C44" s="19"/>
      <c r="D44" s="19"/>
      <c r="E44" s="11" t="str">
        <f aca="false">IF(D44="","",IFERROR(INDEX(COA!$B$4:$B$28,MATCH(D44,COA!$A$4:$A$28,0)),"# غير موجود"))</f>
        <v/>
      </c>
      <c r="F44" s="20"/>
      <c r="G44" s="20"/>
      <c r="H44" s="21"/>
      <c r="I44" s="21"/>
      <c r="J44" s="10" t="str">
        <f aca="false">IF(B44="","",IF(ROUND(SUMIF($B$5:$B$64,B44,$H$5:$H$64)-SUMIF($B$5:$B$64,B44,$I$5:$I$64),2)=0,"متوازن","غير متوازن"))</f>
        <v/>
      </c>
      <c r="K44" s="12" t="str">
        <f aca="false">IF(D44="","",COUNTIFS($D$5:D44,D44))</f>
        <v/>
      </c>
      <c r="L44" s="12" t="str">
        <f aca="false">IF(D44="","",D44*1000+K44)</f>
        <v/>
      </c>
    </row>
    <row r="45" customFormat="false" ht="15" hidden="false" customHeight="false" outlineLevel="0" collapsed="false">
      <c r="A45" s="10" t="n">
        <v>41</v>
      </c>
      <c r="B45" s="19"/>
      <c r="C45" s="19"/>
      <c r="D45" s="19"/>
      <c r="E45" s="11" t="str">
        <f aca="false">IF(D45="","",IFERROR(INDEX(COA!$B$4:$B$28,MATCH(D45,COA!$A$4:$A$28,0)),"# غير موجود"))</f>
        <v/>
      </c>
      <c r="F45" s="20"/>
      <c r="G45" s="20"/>
      <c r="H45" s="21"/>
      <c r="I45" s="21"/>
      <c r="J45" s="10" t="str">
        <f aca="false">IF(B45="","",IF(ROUND(SUMIF($B$5:$B$64,B45,$H$5:$H$64)-SUMIF($B$5:$B$64,B45,$I$5:$I$64),2)=0,"متوازن","غير متوازن"))</f>
        <v/>
      </c>
      <c r="K45" s="12" t="str">
        <f aca="false">IF(D45="","",COUNTIFS($D$5:D45,D45))</f>
        <v/>
      </c>
      <c r="L45" s="12" t="str">
        <f aca="false">IF(D45="","",D45*1000+K45)</f>
        <v/>
      </c>
    </row>
    <row r="46" customFormat="false" ht="15" hidden="false" customHeight="false" outlineLevel="0" collapsed="false">
      <c r="A46" s="10" t="n">
        <v>42</v>
      </c>
      <c r="B46" s="19"/>
      <c r="C46" s="19"/>
      <c r="D46" s="19"/>
      <c r="E46" s="11" t="str">
        <f aca="false">IF(D46="","",IFERROR(INDEX(COA!$B$4:$B$28,MATCH(D46,COA!$A$4:$A$28,0)),"# غير موجود"))</f>
        <v/>
      </c>
      <c r="F46" s="20"/>
      <c r="G46" s="20"/>
      <c r="H46" s="21"/>
      <c r="I46" s="21"/>
      <c r="J46" s="10" t="str">
        <f aca="false">IF(B46="","",IF(ROUND(SUMIF($B$5:$B$64,B46,$H$5:$H$64)-SUMIF($B$5:$B$64,B46,$I$5:$I$64),2)=0,"متوازن","غير متوازن"))</f>
        <v/>
      </c>
      <c r="K46" s="12" t="str">
        <f aca="false">IF(D46="","",COUNTIFS($D$5:D46,D46))</f>
        <v/>
      </c>
      <c r="L46" s="12" t="str">
        <f aca="false">IF(D46="","",D46*1000+K46)</f>
        <v/>
      </c>
    </row>
    <row r="47" customFormat="false" ht="15" hidden="false" customHeight="false" outlineLevel="0" collapsed="false">
      <c r="A47" s="10" t="n">
        <v>43</v>
      </c>
      <c r="B47" s="19"/>
      <c r="C47" s="19"/>
      <c r="D47" s="19"/>
      <c r="E47" s="11" t="str">
        <f aca="false">IF(D47="","",IFERROR(INDEX(COA!$B$4:$B$28,MATCH(D47,COA!$A$4:$A$28,0)),"# غير موجود"))</f>
        <v/>
      </c>
      <c r="F47" s="20"/>
      <c r="G47" s="20"/>
      <c r="H47" s="21"/>
      <c r="I47" s="21"/>
      <c r="J47" s="10" t="str">
        <f aca="false">IF(B47="","",IF(ROUND(SUMIF($B$5:$B$64,B47,$H$5:$H$64)-SUMIF($B$5:$B$64,B47,$I$5:$I$64),2)=0,"متوازن","غير متوازن"))</f>
        <v/>
      </c>
      <c r="K47" s="12" t="str">
        <f aca="false">IF(D47="","",COUNTIFS($D$5:D47,D47))</f>
        <v/>
      </c>
      <c r="L47" s="12" t="str">
        <f aca="false">IF(D47="","",D47*1000+K47)</f>
        <v/>
      </c>
    </row>
    <row r="48" customFormat="false" ht="15" hidden="false" customHeight="false" outlineLevel="0" collapsed="false">
      <c r="A48" s="10" t="n">
        <v>44</v>
      </c>
      <c r="B48" s="19"/>
      <c r="C48" s="19"/>
      <c r="D48" s="19"/>
      <c r="E48" s="11" t="str">
        <f aca="false">IF(D48="","",IFERROR(INDEX(COA!$B$4:$B$28,MATCH(D48,COA!$A$4:$A$28,0)),"# غير موجود"))</f>
        <v/>
      </c>
      <c r="F48" s="20"/>
      <c r="G48" s="20"/>
      <c r="H48" s="21"/>
      <c r="I48" s="21"/>
      <c r="J48" s="10" t="str">
        <f aca="false">IF(B48="","",IF(ROUND(SUMIF($B$5:$B$64,B48,$H$5:$H$64)-SUMIF($B$5:$B$64,B48,$I$5:$I$64),2)=0,"متوازن","غير متوازن"))</f>
        <v/>
      </c>
      <c r="K48" s="12" t="str">
        <f aca="false">IF(D48="","",COUNTIFS($D$5:D48,D48))</f>
        <v/>
      </c>
      <c r="L48" s="12" t="str">
        <f aca="false">IF(D48="","",D48*1000+K48)</f>
        <v/>
      </c>
    </row>
    <row r="49" customFormat="false" ht="15" hidden="false" customHeight="false" outlineLevel="0" collapsed="false">
      <c r="A49" s="10" t="n">
        <v>45</v>
      </c>
      <c r="B49" s="19"/>
      <c r="C49" s="19"/>
      <c r="D49" s="19"/>
      <c r="E49" s="11" t="str">
        <f aca="false">IF(D49="","",IFERROR(INDEX(COA!$B$4:$B$28,MATCH(D49,COA!$A$4:$A$28,0)),"# غير موجود"))</f>
        <v/>
      </c>
      <c r="F49" s="20"/>
      <c r="G49" s="20"/>
      <c r="H49" s="21"/>
      <c r="I49" s="21"/>
      <c r="J49" s="10" t="str">
        <f aca="false">IF(B49="","",IF(ROUND(SUMIF($B$5:$B$64,B49,$H$5:$H$64)-SUMIF($B$5:$B$64,B49,$I$5:$I$64),2)=0,"متوازن","غير متوازن"))</f>
        <v/>
      </c>
      <c r="K49" s="12" t="str">
        <f aca="false">IF(D49="","",COUNTIFS($D$5:D49,D49))</f>
        <v/>
      </c>
      <c r="L49" s="12" t="str">
        <f aca="false">IF(D49="","",D49*1000+K49)</f>
        <v/>
      </c>
    </row>
    <row r="50" customFormat="false" ht="15" hidden="false" customHeight="false" outlineLevel="0" collapsed="false">
      <c r="A50" s="10" t="n">
        <v>46</v>
      </c>
      <c r="B50" s="19"/>
      <c r="C50" s="19"/>
      <c r="D50" s="19"/>
      <c r="E50" s="11" t="str">
        <f aca="false">IF(D50="","",IFERROR(INDEX(COA!$B$4:$B$28,MATCH(D50,COA!$A$4:$A$28,0)),"# غير موجود"))</f>
        <v/>
      </c>
      <c r="F50" s="20"/>
      <c r="G50" s="20"/>
      <c r="H50" s="21"/>
      <c r="I50" s="21"/>
      <c r="J50" s="10" t="str">
        <f aca="false">IF(B50="","",IF(ROUND(SUMIF($B$5:$B$64,B50,$H$5:$H$64)-SUMIF($B$5:$B$64,B50,$I$5:$I$64),2)=0,"متوازن","غير متوازن"))</f>
        <v/>
      </c>
      <c r="K50" s="12" t="str">
        <f aca="false">IF(D50="","",COUNTIFS($D$5:D50,D50))</f>
        <v/>
      </c>
      <c r="L50" s="12" t="str">
        <f aca="false">IF(D50="","",D50*1000+K50)</f>
        <v/>
      </c>
    </row>
    <row r="51" customFormat="false" ht="15" hidden="false" customHeight="false" outlineLevel="0" collapsed="false">
      <c r="A51" s="10" t="n">
        <v>47</v>
      </c>
      <c r="B51" s="19"/>
      <c r="C51" s="19"/>
      <c r="D51" s="19"/>
      <c r="E51" s="11" t="str">
        <f aca="false">IF(D51="","",IFERROR(INDEX(COA!$B$4:$B$28,MATCH(D51,COA!$A$4:$A$28,0)),"# غير موجود"))</f>
        <v/>
      </c>
      <c r="F51" s="20"/>
      <c r="G51" s="20"/>
      <c r="H51" s="21"/>
      <c r="I51" s="21"/>
      <c r="J51" s="10" t="str">
        <f aca="false">IF(B51="","",IF(ROUND(SUMIF($B$5:$B$64,B51,$H$5:$H$64)-SUMIF($B$5:$B$64,B51,$I$5:$I$64),2)=0,"متوازن","غير متوازن"))</f>
        <v/>
      </c>
      <c r="K51" s="12" t="str">
        <f aca="false">IF(D51="","",COUNTIFS($D$5:D51,D51))</f>
        <v/>
      </c>
      <c r="L51" s="12" t="str">
        <f aca="false">IF(D51="","",D51*1000+K51)</f>
        <v/>
      </c>
    </row>
    <row r="52" customFormat="false" ht="15" hidden="false" customHeight="false" outlineLevel="0" collapsed="false">
      <c r="A52" s="10" t="n">
        <v>48</v>
      </c>
      <c r="B52" s="19"/>
      <c r="C52" s="19"/>
      <c r="D52" s="19"/>
      <c r="E52" s="11" t="str">
        <f aca="false">IF(D52="","",IFERROR(INDEX(COA!$B$4:$B$28,MATCH(D52,COA!$A$4:$A$28,0)),"# غير موجود"))</f>
        <v/>
      </c>
      <c r="F52" s="20"/>
      <c r="G52" s="20"/>
      <c r="H52" s="21"/>
      <c r="I52" s="21"/>
      <c r="J52" s="10" t="str">
        <f aca="false">IF(B52="","",IF(ROUND(SUMIF($B$5:$B$64,B52,$H$5:$H$64)-SUMIF($B$5:$B$64,B52,$I$5:$I$64),2)=0,"متوازن","غير متوازن"))</f>
        <v/>
      </c>
      <c r="K52" s="12" t="str">
        <f aca="false">IF(D52="","",COUNTIFS($D$5:D52,D52))</f>
        <v/>
      </c>
      <c r="L52" s="12" t="str">
        <f aca="false">IF(D52="","",D52*1000+K52)</f>
        <v/>
      </c>
    </row>
    <row r="53" customFormat="false" ht="15" hidden="false" customHeight="false" outlineLevel="0" collapsed="false">
      <c r="A53" s="10" t="n">
        <v>49</v>
      </c>
      <c r="B53" s="19"/>
      <c r="C53" s="19"/>
      <c r="D53" s="19"/>
      <c r="E53" s="11" t="str">
        <f aca="false">IF(D53="","",IFERROR(INDEX(COA!$B$4:$B$28,MATCH(D53,COA!$A$4:$A$28,0)),"# غير موجود"))</f>
        <v/>
      </c>
      <c r="F53" s="20"/>
      <c r="G53" s="20"/>
      <c r="H53" s="21"/>
      <c r="I53" s="21"/>
      <c r="J53" s="10" t="str">
        <f aca="false">IF(B53="","",IF(ROUND(SUMIF($B$5:$B$64,B53,$H$5:$H$64)-SUMIF($B$5:$B$64,B53,$I$5:$I$64),2)=0,"متوازن","غير متوازن"))</f>
        <v/>
      </c>
      <c r="K53" s="12" t="str">
        <f aca="false">IF(D53="","",COUNTIFS($D$5:D53,D53))</f>
        <v/>
      </c>
      <c r="L53" s="12" t="str">
        <f aca="false">IF(D53="","",D53*1000+K53)</f>
        <v/>
      </c>
    </row>
    <row r="54" customFormat="false" ht="15" hidden="false" customHeight="false" outlineLevel="0" collapsed="false">
      <c r="A54" s="10" t="n">
        <v>50</v>
      </c>
      <c r="B54" s="19"/>
      <c r="C54" s="19"/>
      <c r="D54" s="19"/>
      <c r="E54" s="11" t="str">
        <f aca="false">IF(D54="","",IFERROR(INDEX(COA!$B$4:$B$28,MATCH(D54,COA!$A$4:$A$28,0)),"# غير موجود"))</f>
        <v/>
      </c>
      <c r="F54" s="20"/>
      <c r="G54" s="20"/>
      <c r="H54" s="21"/>
      <c r="I54" s="21"/>
      <c r="J54" s="10" t="str">
        <f aca="false">IF(B54="","",IF(ROUND(SUMIF($B$5:$B$64,B54,$H$5:$H$64)-SUMIF($B$5:$B$64,B54,$I$5:$I$64),2)=0,"متوازن","غير متوازن"))</f>
        <v/>
      </c>
      <c r="K54" s="12" t="str">
        <f aca="false">IF(D54="","",COUNTIFS($D$5:D54,D54))</f>
        <v/>
      </c>
      <c r="L54" s="12" t="str">
        <f aca="false">IF(D54="","",D54*1000+K54)</f>
        <v/>
      </c>
    </row>
    <row r="55" customFormat="false" ht="15" hidden="false" customHeight="false" outlineLevel="0" collapsed="false">
      <c r="A55" s="10" t="n">
        <v>51</v>
      </c>
      <c r="B55" s="19"/>
      <c r="C55" s="19"/>
      <c r="D55" s="19"/>
      <c r="E55" s="11" t="str">
        <f aca="false">IF(D55="","",IFERROR(INDEX(COA!$B$4:$B$28,MATCH(D55,COA!$A$4:$A$28,0)),"# غير موجود"))</f>
        <v/>
      </c>
      <c r="F55" s="20"/>
      <c r="G55" s="20"/>
      <c r="H55" s="21"/>
      <c r="I55" s="21"/>
      <c r="J55" s="10" t="str">
        <f aca="false">IF(B55="","",IF(ROUND(SUMIF($B$5:$B$64,B55,$H$5:$H$64)-SUMIF($B$5:$B$64,B55,$I$5:$I$64),2)=0,"متوازن","غير متوازن"))</f>
        <v/>
      </c>
      <c r="K55" s="12" t="str">
        <f aca="false">IF(D55="","",COUNTIFS($D$5:D55,D55))</f>
        <v/>
      </c>
      <c r="L55" s="12" t="str">
        <f aca="false">IF(D55="","",D55*1000+K55)</f>
        <v/>
      </c>
    </row>
    <row r="56" customFormat="false" ht="15" hidden="false" customHeight="false" outlineLevel="0" collapsed="false">
      <c r="A56" s="10" t="n">
        <v>52</v>
      </c>
      <c r="B56" s="19"/>
      <c r="C56" s="19"/>
      <c r="D56" s="19"/>
      <c r="E56" s="11" t="str">
        <f aca="false">IF(D56="","",IFERROR(INDEX(COA!$B$4:$B$28,MATCH(D56,COA!$A$4:$A$28,0)),"# غير موجود"))</f>
        <v/>
      </c>
      <c r="F56" s="20"/>
      <c r="G56" s="20"/>
      <c r="H56" s="21"/>
      <c r="I56" s="21"/>
      <c r="J56" s="10" t="str">
        <f aca="false">IF(B56="","",IF(ROUND(SUMIF($B$5:$B$64,B56,$H$5:$H$64)-SUMIF($B$5:$B$64,B56,$I$5:$I$64),2)=0,"متوازن","غير متوازن"))</f>
        <v/>
      </c>
      <c r="K56" s="12" t="str">
        <f aca="false">IF(D56="","",COUNTIFS($D$5:D56,D56))</f>
        <v/>
      </c>
      <c r="L56" s="12" t="str">
        <f aca="false">IF(D56="","",D56*1000+K56)</f>
        <v/>
      </c>
    </row>
    <row r="57" customFormat="false" ht="15" hidden="false" customHeight="false" outlineLevel="0" collapsed="false">
      <c r="A57" s="10" t="n">
        <v>53</v>
      </c>
      <c r="B57" s="19"/>
      <c r="C57" s="19"/>
      <c r="D57" s="19"/>
      <c r="E57" s="11" t="str">
        <f aca="false">IF(D57="","",IFERROR(INDEX(COA!$B$4:$B$28,MATCH(D57,COA!$A$4:$A$28,0)),"# غير موجود"))</f>
        <v/>
      </c>
      <c r="F57" s="20"/>
      <c r="G57" s="20"/>
      <c r="H57" s="21"/>
      <c r="I57" s="21"/>
      <c r="J57" s="10" t="str">
        <f aca="false">IF(B57="","",IF(ROUND(SUMIF($B$5:$B$64,B57,$H$5:$H$64)-SUMIF($B$5:$B$64,B57,$I$5:$I$64),2)=0,"متوازن","غير متوازن"))</f>
        <v/>
      </c>
      <c r="K57" s="12" t="str">
        <f aca="false">IF(D57="","",COUNTIFS($D$5:D57,D57))</f>
        <v/>
      </c>
      <c r="L57" s="12" t="str">
        <f aca="false">IF(D57="","",D57*1000+K57)</f>
        <v/>
      </c>
    </row>
    <row r="58" customFormat="false" ht="15" hidden="false" customHeight="false" outlineLevel="0" collapsed="false">
      <c r="A58" s="10" t="n">
        <v>54</v>
      </c>
      <c r="B58" s="19"/>
      <c r="C58" s="19"/>
      <c r="D58" s="19"/>
      <c r="E58" s="11" t="str">
        <f aca="false">IF(D58="","",IFERROR(INDEX(COA!$B$4:$B$28,MATCH(D58,COA!$A$4:$A$28,0)),"# غير موجود"))</f>
        <v/>
      </c>
      <c r="F58" s="20"/>
      <c r="G58" s="20"/>
      <c r="H58" s="21"/>
      <c r="I58" s="21"/>
      <c r="J58" s="10" t="str">
        <f aca="false">IF(B58="","",IF(ROUND(SUMIF($B$5:$B$64,B58,$H$5:$H$64)-SUMIF($B$5:$B$64,B58,$I$5:$I$64),2)=0,"متوازن","غير متوازن"))</f>
        <v/>
      </c>
      <c r="K58" s="12" t="str">
        <f aca="false">IF(D58="","",COUNTIFS($D$5:D58,D58))</f>
        <v/>
      </c>
      <c r="L58" s="12" t="str">
        <f aca="false">IF(D58="","",D58*1000+K58)</f>
        <v/>
      </c>
    </row>
    <row r="59" customFormat="false" ht="15" hidden="false" customHeight="false" outlineLevel="0" collapsed="false">
      <c r="A59" s="10" t="n">
        <v>55</v>
      </c>
      <c r="B59" s="19"/>
      <c r="C59" s="19"/>
      <c r="D59" s="19"/>
      <c r="E59" s="11" t="str">
        <f aca="false">IF(D59="","",IFERROR(INDEX(COA!$B$4:$B$28,MATCH(D59,COA!$A$4:$A$28,0)),"# غير موجود"))</f>
        <v/>
      </c>
      <c r="F59" s="20"/>
      <c r="G59" s="20"/>
      <c r="H59" s="21"/>
      <c r="I59" s="21"/>
      <c r="J59" s="10" t="str">
        <f aca="false">IF(B59="","",IF(ROUND(SUMIF($B$5:$B$64,B59,$H$5:$H$64)-SUMIF($B$5:$B$64,B59,$I$5:$I$64),2)=0,"متوازن","غير متوازن"))</f>
        <v/>
      </c>
      <c r="K59" s="12" t="str">
        <f aca="false">IF(D59="","",COUNTIFS($D$5:D59,D59))</f>
        <v/>
      </c>
      <c r="L59" s="12" t="str">
        <f aca="false">IF(D59="","",D59*1000+K59)</f>
        <v/>
      </c>
    </row>
    <row r="60" customFormat="false" ht="15" hidden="false" customHeight="false" outlineLevel="0" collapsed="false">
      <c r="A60" s="10" t="n">
        <v>56</v>
      </c>
      <c r="B60" s="19"/>
      <c r="C60" s="19"/>
      <c r="D60" s="19"/>
      <c r="E60" s="11" t="str">
        <f aca="false">IF(D60="","",IFERROR(INDEX(COA!$B$4:$B$28,MATCH(D60,COA!$A$4:$A$28,0)),"# غير موجود"))</f>
        <v/>
      </c>
      <c r="F60" s="20"/>
      <c r="G60" s="20"/>
      <c r="H60" s="21"/>
      <c r="I60" s="21"/>
      <c r="J60" s="10" t="str">
        <f aca="false">IF(B60="","",IF(ROUND(SUMIF($B$5:$B$64,B60,$H$5:$H$64)-SUMIF($B$5:$B$64,B60,$I$5:$I$64),2)=0,"متوازن","غير متوازن"))</f>
        <v/>
      </c>
      <c r="K60" s="12" t="str">
        <f aca="false">IF(D60="","",COUNTIFS($D$5:D60,D60))</f>
        <v/>
      </c>
      <c r="L60" s="12" t="str">
        <f aca="false">IF(D60="","",D60*1000+K60)</f>
        <v/>
      </c>
    </row>
    <row r="61" customFormat="false" ht="15" hidden="false" customHeight="false" outlineLevel="0" collapsed="false">
      <c r="A61" s="10" t="n">
        <v>57</v>
      </c>
      <c r="B61" s="19"/>
      <c r="C61" s="19"/>
      <c r="D61" s="19"/>
      <c r="E61" s="11" t="str">
        <f aca="false">IF(D61="","",IFERROR(INDEX(COA!$B$4:$B$28,MATCH(D61,COA!$A$4:$A$28,0)),"# غير موجود"))</f>
        <v/>
      </c>
      <c r="F61" s="20"/>
      <c r="G61" s="20"/>
      <c r="H61" s="21"/>
      <c r="I61" s="21"/>
      <c r="J61" s="10" t="str">
        <f aca="false">IF(B61="","",IF(ROUND(SUMIF($B$5:$B$64,B61,$H$5:$H$64)-SUMIF($B$5:$B$64,B61,$I$5:$I$64),2)=0,"متوازن","غير متوازن"))</f>
        <v/>
      </c>
      <c r="K61" s="12" t="str">
        <f aca="false">IF(D61="","",COUNTIFS($D$5:D61,D61))</f>
        <v/>
      </c>
      <c r="L61" s="12" t="str">
        <f aca="false">IF(D61="","",D61*1000+K61)</f>
        <v/>
      </c>
    </row>
    <row r="62" customFormat="false" ht="15" hidden="false" customHeight="false" outlineLevel="0" collapsed="false">
      <c r="A62" s="10" t="n">
        <v>58</v>
      </c>
      <c r="B62" s="19"/>
      <c r="C62" s="19"/>
      <c r="D62" s="19"/>
      <c r="E62" s="11" t="str">
        <f aca="false">IF(D62="","",IFERROR(INDEX(COA!$B$4:$B$28,MATCH(D62,COA!$A$4:$A$28,0)),"# غير موجود"))</f>
        <v/>
      </c>
      <c r="F62" s="20"/>
      <c r="G62" s="20"/>
      <c r="H62" s="21"/>
      <c r="I62" s="21"/>
      <c r="J62" s="10" t="str">
        <f aca="false">IF(B62="","",IF(ROUND(SUMIF($B$5:$B$64,B62,$H$5:$H$64)-SUMIF($B$5:$B$64,B62,$I$5:$I$64),2)=0,"متوازن","غير متوازن"))</f>
        <v/>
      </c>
      <c r="K62" s="12" t="str">
        <f aca="false">IF(D62="","",COUNTIFS($D$5:D62,D62))</f>
        <v/>
      </c>
      <c r="L62" s="12" t="str">
        <f aca="false">IF(D62="","",D62*1000+K62)</f>
        <v/>
      </c>
    </row>
    <row r="63" customFormat="false" ht="15" hidden="false" customHeight="false" outlineLevel="0" collapsed="false">
      <c r="A63" s="10" t="n">
        <v>59</v>
      </c>
      <c r="B63" s="19"/>
      <c r="C63" s="19"/>
      <c r="D63" s="19"/>
      <c r="E63" s="11" t="str">
        <f aca="false">IF(D63="","",IFERROR(INDEX(COA!$B$4:$B$28,MATCH(D63,COA!$A$4:$A$28,0)),"# غير موجود"))</f>
        <v/>
      </c>
      <c r="F63" s="20"/>
      <c r="G63" s="20"/>
      <c r="H63" s="21"/>
      <c r="I63" s="21"/>
      <c r="J63" s="10" t="str">
        <f aca="false">IF(B63="","",IF(ROUND(SUMIF($B$5:$B$64,B63,$H$5:$H$64)-SUMIF($B$5:$B$64,B63,$I$5:$I$64),2)=0,"متوازن","غير متوازن"))</f>
        <v/>
      </c>
      <c r="K63" s="12" t="str">
        <f aca="false">IF(D63="","",COUNTIFS($D$5:D63,D63))</f>
        <v/>
      </c>
      <c r="L63" s="12" t="str">
        <f aca="false">IF(D63="","",D63*1000+K63)</f>
        <v/>
      </c>
    </row>
    <row r="64" customFormat="false" ht="15" hidden="false" customHeight="false" outlineLevel="0" collapsed="false">
      <c r="A64" s="10" t="n">
        <v>60</v>
      </c>
      <c r="B64" s="19"/>
      <c r="C64" s="19"/>
      <c r="D64" s="19"/>
      <c r="E64" s="11" t="str">
        <f aca="false">IF(D64="","",IFERROR(INDEX(COA!$B$4:$B$28,MATCH(D64,COA!$A$4:$A$28,0)),"# غير موجود"))</f>
        <v/>
      </c>
      <c r="F64" s="20"/>
      <c r="G64" s="20"/>
      <c r="H64" s="21"/>
      <c r="I64" s="21"/>
      <c r="J64" s="10" t="str">
        <f aca="false">IF(B64="","",IF(ROUND(SUMIF($B$5:$B$64,B64,$H$5:$H$64)-SUMIF($B$5:$B$64,B64,$I$5:$I$64),2)=0,"متوازن","غير متوازن"))</f>
        <v/>
      </c>
      <c r="K64" s="12" t="str">
        <f aca="false">IF(D64="","",COUNTIFS($D$5:D64,D64))</f>
        <v/>
      </c>
      <c r="L64" s="12" t="str">
        <f aca="false">IF(D64="","",D64*1000+K64)</f>
        <v/>
      </c>
    </row>
    <row r="66" customFormat="false" ht="15" hidden="false" customHeight="true" outlineLevel="0" collapsed="false">
      <c r="A66" s="2" t="s">
        <v>20</v>
      </c>
      <c r="B66" s="2"/>
      <c r="C66" s="2"/>
      <c r="D66" s="2"/>
      <c r="E66" s="2"/>
      <c r="F66" s="2"/>
      <c r="G66" s="2"/>
      <c r="H66" s="2"/>
    </row>
    <row r="67" customFormat="false" ht="15" hidden="false" customHeight="true" outlineLevel="0" collapsed="false">
      <c r="A67" s="2" t="s">
        <v>82</v>
      </c>
      <c r="B67" s="2"/>
      <c r="C67" s="2"/>
      <c r="D67" s="2"/>
      <c r="E67" s="2"/>
      <c r="F67" s="2"/>
      <c r="G67" s="2"/>
      <c r="H67" s="2"/>
    </row>
  </sheetData>
  <mergeCells count="4">
    <mergeCell ref="A1:L1"/>
    <mergeCell ref="A2:L2"/>
    <mergeCell ref="A66:H66"/>
    <mergeCell ref="A67:H67"/>
  </mergeCells>
  <conditionalFormatting sqref="J5:J64">
    <cfRule type="cellIs" priority="2" operator="equal" aboveAverage="0" equalAverage="0" bottom="0" percent="0" rank="0" text="" dxfId="0">
      <formula>"غير متوازن"</formula>
    </cfRule>
  </conditionalFormatting>
  <dataValidations count="1">
    <dataValidation allowBlank="true" errorStyle="stop" operator="between" showDropDown="false" showErrorMessage="false" showInputMessage="false" sqref="D5:D64" type="list">
      <formula1>COA!$A$4:$A$28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83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2" t="s">
        <v>84</v>
      </c>
      <c r="B3" s="14" t="n">
        <v>1100</v>
      </c>
    </row>
    <row r="4" customFormat="false" ht="15" hidden="false" customHeight="false" outlineLevel="0" collapsed="false">
      <c r="A4" s="23" t="s">
        <v>85</v>
      </c>
      <c r="B4" s="11" t="str">
        <f aca="false">IFERROR(INDEX(COA!$B$4:$B$28,MATCH(B3,COA!$A$4:$A$28,0)),"")</f>
        <v>البنك</v>
      </c>
    </row>
    <row r="5" customFormat="false" ht="15" hidden="false" customHeight="false" outlineLevel="0" collapsed="false">
      <c r="A5" s="23" t="s">
        <v>86</v>
      </c>
      <c r="B5" s="11" t="str">
        <f aca="false">IFERROR(INDEX(COA!$C$4:$C$28,MATCH(B3,COA!$A$4:$A$28,0)),"")</f>
        <v>أصل</v>
      </c>
    </row>
    <row r="6" customFormat="false" ht="15" hidden="false" customHeight="false" outlineLevel="0" collapsed="false">
      <c r="A6" s="23" t="s">
        <v>87</v>
      </c>
      <c r="B6" s="11" t="str">
        <f aca="false">IFERROR(INDEX(COA!$D$4:$D$28,MATCH(B3,COA!$A$4:$A$28,0)),"")</f>
        <v>مدين</v>
      </c>
    </row>
    <row r="8" customFormat="false" ht="21.75" hidden="false" customHeight="true" outlineLevel="0" collapsed="false">
      <c r="A8" s="9" t="s">
        <v>88</v>
      </c>
      <c r="B8" s="9" t="s">
        <v>89</v>
      </c>
      <c r="C8" s="9" t="s">
        <v>90</v>
      </c>
      <c r="D8" s="9" t="s">
        <v>91</v>
      </c>
    </row>
    <row r="9" customFormat="false" ht="15" hidden="false" customHeight="false" outlineLevel="0" collapsed="false">
      <c r="A9" s="24" t="n">
        <f aca="false">IF($B$6="مدين",SUMIF('Opening Balances'!$A$5:$A$6,$B$3,'Opening Balances'!$C$5:$C$6)-SUMIF('Opening Balances'!$A$5:$A$6,$B$3,'Opening Balances'!$D$5:$D$6),SUMIF('Opening Balances'!$A$5:$A$6,$B$3,'Opening Balances'!$D$5:$D$6)-SUMIF('Opening Balances'!$A$5:$A$6,$B$3,'Opening Balances'!$C$5:$C$6))</f>
        <v>20000000</v>
      </c>
      <c r="B9" s="24" t="n">
        <f aca="false">SUMIF(Journal!$D$5:$D$64,$B$3,Journal!$H$5:$H$64)</f>
        <v>0</v>
      </c>
      <c r="C9" s="24" t="n">
        <f aca="false">SUMIF(Journal!$D$5:$D$64,$B$3,Journal!$I$5:$I$64)</f>
        <v>0</v>
      </c>
      <c r="D9" s="24" t="n">
        <f aca="false">IF($B$6="مدين",A9+B9-C9,A9+C9-B9)</f>
        <v>20000000</v>
      </c>
    </row>
    <row r="11" customFormat="false" ht="15" hidden="false" customHeight="true" outlineLevel="0" collapsed="false">
      <c r="A11" s="7" t="s">
        <v>92</v>
      </c>
      <c r="B11" s="7"/>
      <c r="C11" s="7"/>
      <c r="D11" s="7"/>
      <c r="E11" s="7"/>
      <c r="F11" s="7"/>
    </row>
    <row r="12" customFormat="false" ht="21.75" hidden="false" customHeight="true" outlineLevel="0" collapsed="false">
      <c r="A12" s="9" t="s">
        <v>76</v>
      </c>
      <c r="B12" s="9" t="s">
        <v>75</v>
      </c>
      <c r="C12" s="9" t="s">
        <v>78</v>
      </c>
      <c r="D12" s="9" t="s">
        <v>29</v>
      </c>
      <c r="E12" s="9" t="s">
        <v>38</v>
      </c>
      <c r="F12" s="9" t="s">
        <v>93</v>
      </c>
    </row>
    <row r="13" customFormat="false" ht="15" hidden="false" customHeight="false" outlineLevel="0" collapsed="false">
      <c r="A13" s="10" t="str">
        <f aca="false">IFERROR(INDEX(Journal!$C$5:$C$64,MATCH($B$3*1000+1,Journal!$L$5:$L$64,0)),"")</f>
        <v/>
      </c>
      <c r="B13" s="10" t="str">
        <f aca="false">IFERROR(INDEX(Journal!$B$5:$B$64,MATCH($B$3*1000+1,Journal!$L$5:$L$64,0)),"")</f>
        <v/>
      </c>
      <c r="C13" s="11" t="str">
        <f aca="false">IFERROR(INDEX(Journal!$G$5:$G$64,MATCH($B$3*1000+1,Journal!$L$5:$L$64,0)),"")</f>
        <v/>
      </c>
      <c r="D13" s="24" t="str">
        <f aca="false">IFERROR(INDEX(Journal!$H$5:$H$64,MATCH($B$3*1000+1,Journal!$L$5:$L$64,0)),"")</f>
        <v/>
      </c>
      <c r="E13" s="24" t="str">
        <f aca="false">IFERROR(INDEX(Journal!$I$5:$I$64,MATCH($B$3*1000+1,Journal!$L$5:$L$64,0)),"")</f>
        <v/>
      </c>
      <c r="F13" s="24" t="str">
        <f aca="false">IF(D13="","",IF($B$6="مدين",A9+SUMIFS(Journal!$H$5:$H$64,Journal!$D$5:$D$64,$B$3,Journal!$K$5:$K$64,"&lt;="&amp;1)-SUMIFS(Journal!$I$5:$I$64,Journal!$D$5:$D$64,$B$3,Journal!$K$5:$K$64,"&lt;="&amp;1),A9+SUMIFS(Journal!$I$5:$I$64,Journal!$D$5:$D$64,$B$3,Journal!$K$5:$K$64,"&lt;="&amp;1)-SUMIFS(Journal!$H$5:$H$64,Journal!$D$5:$D$64,$B$3,Journal!$K$5:$K$64,"&lt;="&amp;1)))</f>
        <v/>
      </c>
    </row>
    <row r="14" customFormat="false" ht="15" hidden="false" customHeight="false" outlineLevel="0" collapsed="false">
      <c r="A14" s="10" t="str">
        <f aca="false">IFERROR(INDEX(Journal!$C$5:$C$64,MATCH($B$3*1000+2,Journal!$L$5:$L$64,0)),"")</f>
        <v/>
      </c>
      <c r="B14" s="10" t="str">
        <f aca="false">IFERROR(INDEX(Journal!$B$5:$B$64,MATCH($B$3*1000+2,Journal!$L$5:$L$64,0)),"")</f>
        <v/>
      </c>
      <c r="C14" s="11" t="str">
        <f aca="false">IFERROR(INDEX(Journal!$G$5:$G$64,MATCH($B$3*1000+2,Journal!$L$5:$L$64,0)),"")</f>
        <v/>
      </c>
      <c r="D14" s="24" t="str">
        <f aca="false">IFERROR(INDEX(Journal!$H$5:$H$64,MATCH($B$3*1000+2,Journal!$L$5:$L$64,0)),"")</f>
        <v/>
      </c>
      <c r="E14" s="24" t="str">
        <f aca="false">IFERROR(INDEX(Journal!$I$5:$I$64,MATCH($B$3*1000+2,Journal!$L$5:$L$64,0)),"")</f>
        <v/>
      </c>
      <c r="F14" s="24" t="str">
        <f aca="false">IF(D14="","",IF($B$6="مدين",A9+SUMIFS(Journal!$H$5:$H$64,Journal!$D$5:$D$64,$B$3,Journal!$K$5:$K$64,"&lt;="&amp;2)-SUMIFS(Journal!$I$5:$I$64,Journal!$D$5:$D$64,$B$3,Journal!$K$5:$K$64,"&lt;="&amp;2),A9+SUMIFS(Journal!$I$5:$I$64,Journal!$D$5:$D$64,$B$3,Journal!$K$5:$K$64,"&lt;="&amp;2)-SUMIFS(Journal!$H$5:$H$64,Journal!$D$5:$D$64,$B$3,Journal!$K$5:$K$64,"&lt;="&amp;2)))</f>
        <v/>
      </c>
    </row>
    <row r="15" customFormat="false" ht="15" hidden="false" customHeight="false" outlineLevel="0" collapsed="false">
      <c r="A15" s="10" t="str">
        <f aca="false">IFERROR(INDEX(Journal!$C$5:$C$64,MATCH($B$3*1000+3,Journal!$L$5:$L$64,0)),"")</f>
        <v/>
      </c>
      <c r="B15" s="10" t="str">
        <f aca="false">IFERROR(INDEX(Journal!$B$5:$B$64,MATCH($B$3*1000+3,Journal!$L$5:$L$64,0)),"")</f>
        <v/>
      </c>
      <c r="C15" s="11" t="str">
        <f aca="false">IFERROR(INDEX(Journal!$G$5:$G$64,MATCH($B$3*1000+3,Journal!$L$5:$L$64,0)),"")</f>
        <v/>
      </c>
      <c r="D15" s="24" t="str">
        <f aca="false">IFERROR(INDEX(Journal!$H$5:$H$64,MATCH($B$3*1000+3,Journal!$L$5:$L$64,0)),"")</f>
        <v/>
      </c>
      <c r="E15" s="24" t="str">
        <f aca="false">IFERROR(INDEX(Journal!$I$5:$I$64,MATCH($B$3*1000+3,Journal!$L$5:$L$64,0)),"")</f>
        <v/>
      </c>
      <c r="F15" s="24" t="str">
        <f aca="false">IF(D15="","",IF($B$6="مدين",A9+SUMIFS(Journal!$H$5:$H$64,Journal!$D$5:$D$64,$B$3,Journal!$K$5:$K$64,"&lt;="&amp;3)-SUMIFS(Journal!$I$5:$I$64,Journal!$D$5:$D$64,$B$3,Journal!$K$5:$K$64,"&lt;="&amp;3),A9+SUMIFS(Journal!$I$5:$I$64,Journal!$D$5:$D$64,$B$3,Journal!$K$5:$K$64,"&lt;="&amp;3)-SUMIFS(Journal!$H$5:$H$64,Journal!$D$5:$D$64,$B$3,Journal!$K$5:$K$64,"&lt;="&amp;3)))</f>
        <v/>
      </c>
    </row>
    <row r="16" customFormat="false" ht="15" hidden="false" customHeight="false" outlineLevel="0" collapsed="false">
      <c r="A16" s="10" t="str">
        <f aca="false">IFERROR(INDEX(Journal!$C$5:$C$64,MATCH($B$3*1000+4,Journal!$L$5:$L$64,0)),"")</f>
        <v/>
      </c>
      <c r="B16" s="10" t="str">
        <f aca="false">IFERROR(INDEX(Journal!$B$5:$B$64,MATCH($B$3*1000+4,Journal!$L$5:$L$64,0)),"")</f>
        <v/>
      </c>
      <c r="C16" s="11" t="str">
        <f aca="false">IFERROR(INDEX(Journal!$G$5:$G$64,MATCH($B$3*1000+4,Journal!$L$5:$L$64,0)),"")</f>
        <v/>
      </c>
      <c r="D16" s="24" t="str">
        <f aca="false">IFERROR(INDEX(Journal!$H$5:$H$64,MATCH($B$3*1000+4,Journal!$L$5:$L$64,0)),"")</f>
        <v/>
      </c>
      <c r="E16" s="24" t="str">
        <f aca="false">IFERROR(INDEX(Journal!$I$5:$I$64,MATCH($B$3*1000+4,Journal!$L$5:$L$64,0)),"")</f>
        <v/>
      </c>
      <c r="F16" s="24" t="str">
        <f aca="false">IF(D16="","",IF($B$6="مدين",A9+SUMIFS(Journal!$H$5:$H$64,Journal!$D$5:$D$64,$B$3,Journal!$K$5:$K$64,"&lt;="&amp;4)-SUMIFS(Journal!$I$5:$I$64,Journal!$D$5:$D$64,$B$3,Journal!$K$5:$K$64,"&lt;="&amp;4),A9+SUMIFS(Journal!$I$5:$I$64,Journal!$D$5:$D$64,$B$3,Journal!$K$5:$K$64,"&lt;="&amp;4)-SUMIFS(Journal!$H$5:$H$64,Journal!$D$5:$D$64,$B$3,Journal!$K$5:$K$64,"&lt;="&amp;4)))</f>
        <v/>
      </c>
    </row>
    <row r="17" customFormat="false" ht="15" hidden="false" customHeight="false" outlineLevel="0" collapsed="false">
      <c r="A17" s="10" t="str">
        <f aca="false">IFERROR(INDEX(Journal!$C$5:$C$64,MATCH($B$3*1000+5,Journal!$L$5:$L$64,0)),"")</f>
        <v/>
      </c>
      <c r="B17" s="10" t="str">
        <f aca="false">IFERROR(INDEX(Journal!$B$5:$B$64,MATCH($B$3*1000+5,Journal!$L$5:$L$64,0)),"")</f>
        <v/>
      </c>
      <c r="C17" s="11" t="str">
        <f aca="false">IFERROR(INDEX(Journal!$G$5:$G$64,MATCH($B$3*1000+5,Journal!$L$5:$L$64,0)),"")</f>
        <v/>
      </c>
      <c r="D17" s="24" t="str">
        <f aca="false">IFERROR(INDEX(Journal!$H$5:$H$64,MATCH($B$3*1000+5,Journal!$L$5:$L$64,0)),"")</f>
        <v/>
      </c>
      <c r="E17" s="24" t="str">
        <f aca="false">IFERROR(INDEX(Journal!$I$5:$I$64,MATCH($B$3*1000+5,Journal!$L$5:$L$64,0)),"")</f>
        <v/>
      </c>
      <c r="F17" s="24" t="str">
        <f aca="false">IF(D17="","",IF($B$6="مدين",A9+SUMIFS(Journal!$H$5:$H$64,Journal!$D$5:$D$64,$B$3,Journal!$K$5:$K$64,"&lt;="&amp;5)-SUMIFS(Journal!$I$5:$I$64,Journal!$D$5:$D$64,$B$3,Journal!$K$5:$K$64,"&lt;="&amp;5),A9+SUMIFS(Journal!$I$5:$I$64,Journal!$D$5:$D$64,$B$3,Journal!$K$5:$K$64,"&lt;="&amp;5)-SUMIFS(Journal!$H$5:$H$64,Journal!$D$5:$D$64,$B$3,Journal!$K$5:$K$64,"&lt;="&amp;5)))</f>
        <v/>
      </c>
    </row>
    <row r="18" customFormat="false" ht="15" hidden="false" customHeight="false" outlineLevel="0" collapsed="false">
      <c r="A18" s="10" t="str">
        <f aca="false">IFERROR(INDEX(Journal!$C$5:$C$64,MATCH($B$3*1000+6,Journal!$L$5:$L$64,0)),"")</f>
        <v/>
      </c>
      <c r="B18" s="10" t="str">
        <f aca="false">IFERROR(INDEX(Journal!$B$5:$B$64,MATCH($B$3*1000+6,Journal!$L$5:$L$64,0)),"")</f>
        <v/>
      </c>
      <c r="C18" s="11" t="str">
        <f aca="false">IFERROR(INDEX(Journal!$G$5:$G$64,MATCH($B$3*1000+6,Journal!$L$5:$L$64,0)),"")</f>
        <v/>
      </c>
      <c r="D18" s="24" t="str">
        <f aca="false">IFERROR(INDEX(Journal!$H$5:$H$64,MATCH($B$3*1000+6,Journal!$L$5:$L$64,0)),"")</f>
        <v/>
      </c>
      <c r="E18" s="24" t="str">
        <f aca="false">IFERROR(INDEX(Journal!$I$5:$I$64,MATCH($B$3*1000+6,Journal!$L$5:$L$64,0)),"")</f>
        <v/>
      </c>
      <c r="F18" s="24" t="str">
        <f aca="false">IF(D18="","",IF($B$6="مدين",A9+SUMIFS(Journal!$H$5:$H$64,Journal!$D$5:$D$64,$B$3,Journal!$K$5:$K$64,"&lt;="&amp;6)-SUMIFS(Journal!$I$5:$I$64,Journal!$D$5:$D$64,$B$3,Journal!$K$5:$K$64,"&lt;="&amp;6),A9+SUMIFS(Journal!$I$5:$I$64,Journal!$D$5:$D$64,$B$3,Journal!$K$5:$K$64,"&lt;="&amp;6)-SUMIFS(Journal!$H$5:$H$64,Journal!$D$5:$D$64,$B$3,Journal!$K$5:$K$64,"&lt;="&amp;6)))</f>
        <v/>
      </c>
    </row>
    <row r="19" customFormat="false" ht="15" hidden="false" customHeight="false" outlineLevel="0" collapsed="false">
      <c r="A19" s="10" t="str">
        <f aca="false">IFERROR(INDEX(Journal!$C$5:$C$64,MATCH($B$3*1000+7,Journal!$L$5:$L$64,0)),"")</f>
        <v/>
      </c>
      <c r="B19" s="10" t="str">
        <f aca="false">IFERROR(INDEX(Journal!$B$5:$B$64,MATCH($B$3*1000+7,Journal!$L$5:$L$64,0)),"")</f>
        <v/>
      </c>
      <c r="C19" s="11" t="str">
        <f aca="false">IFERROR(INDEX(Journal!$G$5:$G$64,MATCH($B$3*1000+7,Journal!$L$5:$L$64,0)),"")</f>
        <v/>
      </c>
      <c r="D19" s="24" t="str">
        <f aca="false">IFERROR(INDEX(Journal!$H$5:$H$64,MATCH($B$3*1000+7,Journal!$L$5:$L$64,0)),"")</f>
        <v/>
      </c>
      <c r="E19" s="24" t="str">
        <f aca="false">IFERROR(INDEX(Journal!$I$5:$I$64,MATCH($B$3*1000+7,Journal!$L$5:$L$64,0)),"")</f>
        <v/>
      </c>
      <c r="F19" s="24" t="str">
        <f aca="false">IF(D19="","",IF($B$6="مدين",A9+SUMIFS(Journal!$H$5:$H$64,Journal!$D$5:$D$64,$B$3,Journal!$K$5:$K$64,"&lt;="&amp;7)-SUMIFS(Journal!$I$5:$I$64,Journal!$D$5:$D$64,$B$3,Journal!$K$5:$K$64,"&lt;="&amp;7),A9+SUMIFS(Journal!$I$5:$I$64,Journal!$D$5:$D$64,$B$3,Journal!$K$5:$K$64,"&lt;="&amp;7)-SUMIFS(Journal!$H$5:$H$64,Journal!$D$5:$D$64,$B$3,Journal!$K$5:$K$64,"&lt;="&amp;7)))</f>
        <v/>
      </c>
    </row>
    <row r="20" customFormat="false" ht="15" hidden="false" customHeight="false" outlineLevel="0" collapsed="false">
      <c r="A20" s="10" t="str">
        <f aca="false">IFERROR(INDEX(Journal!$C$5:$C$64,MATCH($B$3*1000+8,Journal!$L$5:$L$64,0)),"")</f>
        <v/>
      </c>
      <c r="B20" s="10" t="str">
        <f aca="false">IFERROR(INDEX(Journal!$B$5:$B$64,MATCH($B$3*1000+8,Journal!$L$5:$L$64,0)),"")</f>
        <v/>
      </c>
      <c r="C20" s="11" t="str">
        <f aca="false">IFERROR(INDEX(Journal!$G$5:$G$64,MATCH($B$3*1000+8,Journal!$L$5:$L$64,0)),"")</f>
        <v/>
      </c>
      <c r="D20" s="24" t="str">
        <f aca="false">IFERROR(INDEX(Journal!$H$5:$H$64,MATCH($B$3*1000+8,Journal!$L$5:$L$64,0)),"")</f>
        <v/>
      </c>
      <c r="E20" s="24" t="str">
        <f aca="false">IFERROR(INDEX(Journal!$I$5:$I$64,MATCH($B$3*1000+8,Journal!$L$5:$L$64,0)),"")</f>
        <v/>
      </c>
      <c r="F20" s="24" t="str">
        <f aca="false">IF(D20="","",IF($B$6="مدين",A9+SUMIFS(Journal!$H$5:$H$64,Journal!$D$5:$D$64,$B$3,Journal!$K$5:$K$64,"&lt;="&amp;8)-SUMIFS(Journal!$I$5:$I$64,Journal!$D$5:$D$64,$B$3,Journal!$K$5:$K$64,"&lt;="&amp;8),A9+SUMIFS(Journal!$I$5:$I$64,Journal!$D$5:$D$64,$B$3,Journal!$K$5:$K$64,"&lt;="&amp;8)-SUMIFS(Journal!$H$5:$H$64,Journal!$D$5:$D$64,$B$3,Journal!$K$5:$K$64,"&lt;="&amp;8)))</f>
        <v/>
      </c>
    </row>
    <row r="21" customFormat="false" ht="15" hidden="false" customHeight="false" outlineLevel="0" collapsed="false">
      <c r="A21" s="10" t="str">
        <f aca="false">IFERROR(INDEX(Journal!$C$5:$C$64,MATCH($B$3*1000+9,Journal!$L$5:$L$64,0)),"")</f>
        <v/>
      </c>
      <c r="B21" s="10" t="str">
        <f aca="false">IFERROR(INDEX(Journal!$B$5:$B$64,MATCH($B$3*1000+9,Journal!$L$5:$L$64,0)),"")</f>
        <v/>
      </c>
      <c r="C21" s="11" t="str">
        <f aca="false">IFERROR(INDEX(Journal!$G$5:$G$64,MATCH($B$3*1000+9,Journal!$L$5:$L$64,0)),"")</f>
        <v/>
      </c>
      <c r="D21" s="24" t="str">
        <f aca="false">IFERROR(INDEX(Journal!$H$5:$H$64,MATCH($B$3*1000+9,Journal!$L$5:$L$64,0)),"")</f>
        <v/>
      </c>
      <c r="E21" s="24" t="str">
        <f aca="false">IFERROR(INDEX(Journal!$I$5:$I$64,MATCH($B$3*1000+9,Journal!$L$5:$L$64,0)),"")</f>
        <v/>
      </c>
      <c r="F21" s="24" t="str">
        <f aca="false">IF(D21="","",IF($B$6="مدين",A9+SUMIFS(Journal!$H$5:$H$64,Journal!$D$5:$D$64,$B$3,Journal!$K$5:$K$64,"&lt;="&amp;9)-SUMIFS(Journal!$I$5:$I$64,Journal!$D$5:$D$64,$B$3,Journal!$K$5:$K$64,"&lt;="&amp;9),A9+SUMIFS(Journal!$I$5:$I$64,Journal!$D$5:$D$64,$B$3,Journal!$K$5:$K$64,"&lt;="&amp;9)-SUMIFS(Journal!$H$5:$H$64,Journal!$D$5:$D$64,$B$3,Journal!$K$5:$K$64,"&lt;="&amp;9)))</f>
        <v/>
      </c>
    </row>
    <row r="22" customFormat="false" ht="15" hidden="false" customHeight="false" outlineLevel="0" collapsed="false">
      <c r="A22" s="10" t="str">
        <f aca="false">IFERROR(INDEX(Journal!$C$5:$C$64,MATCH($B$3*1000+10,Journal!$L$5:$L$64,0)),"")</f>
        <v/>
      </c>
      <c r="B22" s="10" t="str">
        <f aca="false">IFERROR(INDEX(Journal!$B$5:$B$64,MATCH($B$3*1000+10,Journal!$L$5:$L$64,0)),"")</f>
        <v/>
      </c>
      <c r="C22" s="11" t="str">
        <f aca="false">IFERROR(INDEX(Journal!$G$5:$G$64,MATCH($B$3*1000+10,Journal!$L$5:$L$64,0)),"")</f>
        <v/>
      </c>
      <c r="D22" s="24" t="str">
        <f aca="false">IFERROR(INDEX(Journal!$H$5:$H$64,MATCH($B$3*1000+10,Journal!$L$5:$L$64,0)),"")</f>
        <v/>
      </c>
      <c r="E22" s="24" t="str">
        <f aca="false">IFERROR(INDEX(Journal!$I$5:$I$64,MATCH($B$3*1000+10,Journal!$L$5:$L$64,0)),"")</f>
        <v/>
      </c>
      <c r="F22" s="24" t="str">
        <f aca="false">IF(D22="","",IF($B$6="مدين",A9+SUMIFS(Journal!$H$5:$H$64,Journal!$D$5:$D$64,$B$3,Journal!$K$5:$K$64,"&lt;="&amp;10)-SUMIFS(Journal!$I$5:$I$64,Journal!$D$5:$D$64,$B$3,Journal!$K$5:$K$64,"&lt;="&amp;10),A9+SUMIFS(Journal!$I$5:$I$64,Journal!$D$5:$D$64,$B$3,Journal!$K$5:$K$64,"&lt;="&amp;10)-SUMIFS(Journal!$H$5:$H$64,Journal!$D$5:$D$64,$B$3,Journal!$K$5:$K$64,"&lt;="&amp;10)))</f>
        <v/>
      </c>
    </row>
    <row r="23" customFormat="false" ht="15" hidden="false" customHeight="false" outlineLevel="0" collapsed="false">
      <c r="A23" s="10" t="str">
        <f aca="false">IFERROR(INDEX(Journal!$C$5:$C$64,MATCH($B$3*1000+11,Journal!$L$5:$L$64,0)),"")</f>
        <v/>
      </c>
      <c r="B23" s="10" t="str">
        <f aca="false">IFERROR(INDEX(Journal!$B$5:$B$64,MATCH($B$3*1000+11,Journal!$L$5:$L$64,0)),"")</f>
        <v/>
      </c>
      <c r="C23" s="11" t="str">
        <f aca="false">IFERROR(INDEX(Journal!$G$5:$G$64,MATCH($B$3*1000+11,Journal!$L$5:$L$64,0)),"")</f>
        <v/>
      </c>
      <c r="D23" s="24" t="str">
        <f aca="false">IFERROR(INDEX(Journal!$H$5:$H$64,MATCH($B$3*1000+11,Journal!$L$5:$L$64,0)),"")</f>
        <v/>
      </c>
      <c r="E23" s="24" t="str">
        <f aca="false">IFERROR(INDEX(Journal!$I$5:$I$64,MATCH($B$3*1000+11,Journal!$L$5:$L$64,0)),"")</f>
        <v/>
      </c>
      <c r="F23" s="24" t="str">
        <f aca="false">IF(D23="","",IF($B$6="مدين",A9+SUMIFS(Journal!$H$5:$H$64,Journal!$D$5:$D$64,$B$3,Journal!$K$5:$K$64,"&lt;="&amp;11)-SUMIFS(Journal!$I$5:$I$64,Journal!$D$5:$D$64,$B$3,Journal!$K$5:$K$64,"&lt;="&amp;11),A9+SUMIFS(Journal!$I$5:$I$64,Journal!$D$5:$D$64,$B$3,Journal!$K$5:$K$64,"&lt;="&amp;11)-SUMIFS(Journal!$H$5:$H$64,Journal!$D$5:$D$64,$B$3,Journal!$K$5:$K$64,"&lt;="&amp;11)))</f>
        <v/>
      </c>
    </row>
    <row r="24" customFormat="false" ht="15" hidden="false" customHeight="false" outlineLevel="0" collapsed="false">
      <c r="A24" s="10" t="str">
        <f aca="false">IFERROR(INDEX(Journal!$C$5:$C$64,MATCH($B$3*1000+12,Journal!$L$5:$L$64,0)),"")</f>
        <v/>
      </c>
      <c r="B24" s="10" t="str">
        <f aca="false">IFERROR(INDEX(Journal!$B$5:$B$64,MATCH($B$3*1000+12,Journal!$L$5:$L$64,0)),"")</f>
        <v/>
      </c>
      <c r="C24" s="11" t="str">
        <f aca="false">IFERROR(INDEX(Journal!$G$5:$G$64,MATCH($B$3*1000+12,Journal!$L$5:$L$64,0)),"")</f>
        <v/>
      </c>
      <c r="D24" s="24" t="str">
        <f aca="false">IFERROR(INDEX(Journal!$H$5:$H$64,MATCH($B$3*1000+12,Journal!$L$5:$L$64,0)),"")</f>
        <v/>
      </c>
      <c r="E24" s="24" t="str">
        <f aca="false">IFERROR(INDEX(Journal!$I$5:$I$64,MATCH($B$3*1000+12,Journal!$L$5:$L$64,0)),"")</f>
        <v/>
      </c>
      <c r="F24" s="24" t="str">
        <f aca="false">IF(D24="","",IF($B$6="مدين",A9+SUMIFS(Journal!$H$5:$H$64,Journal!$D$5:$D$64,$B$3,Journal!$K$5:$K$64,"&lt;="&amp;12)-SUMIFS(Journal!$I$5:$I$64,Journal!$D$5:$D$64,$B$3,Journal!$K$5:$K$64,"&lt;="&amp;12),A9+SUMIFS(Journal!$I$5:$I$64,Journal!$D$5:$D$64,$B$3,Journal!$K$5:$K$64,"&lt;="&amp;12)-SUMIFS(Journal!$H$5:$H$64,Journal!$D$5:$D$64,$B$3,Journal!$K$5:$K$64,"&lt;="&amp;12)))</f>
        <v/>
      </c>
    </row>
    <row r="25" customFormat="false" ht="15" hidden="false" customHeight="false" outlineLevel="0" collapsed="false">
      <c r="A25" s="10" t="str">
        <f aca="false">IFERROR(INDEX(Journal!$C$5:$C$64,MATCH($B$3*1000+13,Journal!$L$5:$L$64,0)),"")</f>
        <v/>
      </c>
      <c r="B25" s="10" t="str">
        <f aca="false">IFERROR(INDEX(Journal!$B$5:$B$64,MATCH($B$3*1000+13,Journal!$L$5:$L$64,0)),"")</f>
        <v/>
      </c>
      <c r="C25" s="11" t="str">
        <f aca="false">IFERROR(INDEX(Journal!$G$5:$G$64,MATCH($B$3*1000+13,Journal!$L$5:$L$64,0)),"")</f>
        <v/>
      </c>
      <c r="D25" s="24" t="str">
        <f aca="false">IFERROR(INDEX(Journal!$H$5:$H$64,MATCH($B$3*1000+13,Journal!$L$5:$L$64,0)),"")</f>
        <v/>
      </c>
      <c r="E25" s="24" t="str">
        <f aca="false">IFERROR(INDEX(Journal!$I$5:$I$64,MATCH($B$3*1000+13,Journal!$L$5:$L$64,0)),"")</f>
        <v/>
      </c>
      <c r="F25" s="24" t="str">
        <f aca="false">IF(D25="","",IF($B$6="مدين",A9+SUMIFS(Journal!$H$5:$H$64,Journal!$D$5:$D$64,$B$3,Journal!$K$5:$K$64,"&lt;="&amp;13)-SUMIFS(Journal!$I$5:$I$64,Journal!$D$5:$D$64,$B$3,Journal!$K$5:$K$64,"&lt;="&amp;13),A9+SUMIFS(Journal!$I$5:$I$64,Journal!$D$5:$D$64,$B$3,Journal!$K$5:$K$64,"&lt;="&amp;13)-SUMIFS(Journal!$H$5:$H$64,Journal!$D$5:$D$64,$B$3,Journal!$K$5:$K$64,"&lt;="&amp;13)))</f>
        <v/>
      </c>
    </row>
    <row r="26" customFormat="false" ht="15" hidden="false" customHeight="false" outlineLevel="0" collapsed="false">
      <c r="A26" s="10" t="str">
        <f aca="false">IFERROR(INDEX(Journal!$C$5:$C$64,MATCH($B$3*1000+14,Journal!$L$5:$L$64,0)),"")</f>
        <v/>
      </c>
      <c r="B26" s="10" t="str">
        <f aca="false">IFERROR(INDEX(Journal!$B$5:$B$64,MATCH($B$3*1000+14,Journal!$L$5:$L$64,0)),"")</f>
        <v/>
      </c>
      <c r="C26" s="11" t="str">
        <f aca="false">IFERROR(INDEX(Journal!$G$5:$G$64,MATCH($B$3*1000+14,Journal!$L$5:$L$64,0)),"")</f>
        <v/>
      </c>
      <c r="D26" s="24" t="str">
        <f aca="false">IFERROR(INDEX(Journal!$H$5:$H$64,MATCH($B$3*1000+14,Journal!$L$5:$L$64,0)),"")</f>
        <v/>
      </c>
      <c r="E26" s="24" t="str">
        <f aca="false">IFERROR(INDEX(Journal!$I$5:$I$64,MATCH($B$3*1000+14,Journal!$L$5:$L$64,0)),"")</f>
        <v/>
      </c>
      <c r="F26" s="24" t="str">
        <f aca="false">IF(D26="","",IF($B$6="مدين",A9+SUMIFS(Journal!$H$5:$H$64,Journal!$D$5:$D$64,$B$3,Journal!$K$5:$K$64,"&lt;="&amp;14)-SUMIFS(Journal!$I$5:$I$64,Journal!$D$5:$D$64,$B$3,Journal!$K$5:$K$64,"&lt;="&amp;14),A9+SUMIFS(Journal!$I$5:$I$64,Journal!$D$5:$D$64,$B$3,Journal!$K$5:$K$64,"&lt;="&amp;14)-SUMIFS(Journal!$H$5:$H$64,Journal!$D$5:$D$64,$B$3,Journal!$K$5:$K$64,"&lt;="&amp;14)))</f>
        <v/>
      </c>
    </row>
    <row r="27" customFormat="false" ht="15" hidden="false" customHeight="false" outlineLevel="0" collapsed="false">
      <c r="A27" s="10" t="str">
        <f aca="false">IFERROR(INDEX(Journal!$C$5:$C$64,MATCH($B$3*1000+15,Journal!$L$5:$L$64,0)),"")</f>
        <v/>
      </c>
      <c r="B27" s="10" t="str">
        <f aca="false">IFERROR(INDEX(Journal!$B$5:$B$64,MATCH($B$3*1000+15,Journal!$L$5:$L$64,0)),"")</f>
        <v/>
      </c>
      <c r="C27" s="11" t="str">
        <f aca="false">IFERROR(INDEX(Journal!$G$5:$G$64,MATCH($B$3*1000+15,Journal!$L$5:$L$64,0)),"")</f>
        <v/>
      </c>
      <c r="D27" s="24" t="str">
        <f aca="false">IFERROR(INDEX(Journal!$H$5:$H$64,MATCH($B$3*1000+15,Journal!$L$5:$L$64,0)),"")</f>
        <v/>
      </c>
      <c r="E27" s="24" t="str">
        <f aca="false">IFERROR(INDEX(Journal!$I$5:$I$64,MATCH($B$3*1000+15,Journal!$L$5:$L$64,0)),"")</f>
        <v/>
      </c>
      <c r="F27" s="24" t="str">
        <f aca="false">IF(D27="","",IF($B$6="مدين",A9+SUMIFS(Journal!$H$5:$H$64,Journal!$D$5:$D$64,$B$3,Journal!$K$5:$K$64,"&lt;="&amp;15)-SUMIFS(Journal!$I$5:$I$64,Journal!$D$5:$D$64,$B$3,Journal!$K$5:$K$64,"&lt;="&amp;15),A9+SUMIFS(Journal!$I$5:$I$64,Journal!$D$5:$D$64,$B$3,Journal!$K$5:$K$64,"&lt;="&amp;15)-SUMIFS(Journal!$H$5:$H$64,Journal!$D$5:$D$64,$B$3,Journal!$K$5:$K$64,"&lt;="&amp;15)))</f>
        <v/>
      </c>
    </row>
    <row r="28" customFormat="false" ht="15" hidden="false" customHeight="false" outlineLevel="0" collapsed="false">
      <c r="A28" s="10" t="str">
        <f aca="false">IFERROR(INDEX(Journal!$C$5:$C$64,MATCH($B$3*1000+16,Journal!$L$5:$L$64,0)),"")</f>
        <v/>
      </c>
      <c r="B28" s="10" t="str">
        <f aca="false">IFERROR(INDEX(Journal!$B$5:$B$64,MATCH($B$3*1000+16,Journal!$L$5:$L$64,0)),"")</f>
        <v/>
      </c>
      <c r="C28" s="11" t="str">
        <f aca="false">IFERROR(INDEX(Journal!$G$5:$G$64,MATCH($B$3*1000+16,Journal!$L$5:$L$64,0)),"")</f>
        <v/>
      </c>
      <c r="D28" s="24" t="str">
        <f aca="false">IFERROR(INDEX(Journal!$H$5:$H$64,MATCH($B$3*1000+16,Journal!$L$5:$L$64,0)),"")</f>
        <v/>
      </c>
      <c r="E28" s="24" t="str">
        <f aca="false">IFERROR(INDEX(Journal!$I$5:$I$64,MATCH($B$3*1000+16,Journal!$L$5:$L$64,0)),"")</f>
        <v/>
      </c>
      <c r="F28" s="24" t="str">
        <f aca="false">IF(D28="","",IF($B$6="مدين",A9+SUMIFS(Journal!$H$5:$H$64,Journal!$D$5:$D$64,$B$3,Journal!$K$5:$K$64,"&lt;="&amp;16)-SUMIFS(Journal!$I$5:$I$64,Journal!$D$5:$D$64,$B$3,Journal!$K$5:$K$64,"&lt;="&amp;16),A9+SUMIFS(Journal!$I$5:$I$64,Journal!$D$5:$D$64,$B$3,Journal!$K$5:$K$64,"&lt;="&amp;16)-SUMIFS(Journal!$H$5:$H$64,Journal!$D$5:$D$64,$B$3,Journal!$K$5:$K$64,"&lt;="&amp;16)))</f>
        <v/>
      </c>
    </row>
    <row r="29" customFormat="false" ht="15" hidden="false" customHeight="false" outlineLevel="0" collapsed="false">
      <c r="A29" s="10" t="str">
        <f aca="false">IFERROR(INDEX(Journal!$C$5:$C$64,MATCH($B$3*1000+17,Journal!$L$5:$L$64,0)),"")</f>
        <v/>
      </c>
      <c r="B29" s="10" t="str">
        <f aca="false">IFERROR(INDEX(Journal!$B$5:$B$64,MATCH($B$3*1000+17,Journal!$L$5:$L$64,0)),"")</f>
        <v/>
      </c>
      <c r="C29" s="11" t="str">
        <f aca="false">IFERROR(INDEX(Journal!$G$5:$G$64,MATCH($B$3*1000+17,Journal!$L$5:$L$64,0)),"")</f>
        <v/>
      </c>
      <c r="D29" s="24" t="str">
        <f aca="false">IFERROR(INDEX(Journal!$H$5:$H$64,MATCH($B$3*1000+17,Journal!$L$5:$L$64,0)),"")</f>
        <v/>
      </c>
      <c r="E29" s="24" t="str">
        <f aca="false">IFERROR(INDEX(Journal!$I$5:$I$64,MATCH($B$3*1000+17,Journal!$L$5:$L$64,0)),"")</f>
        <v/>
      </c>
      <c r="F29" s="24" t="str">
        <f aca="false">IF(D29="","",IF($B$6="مدين",A9+SUMIFS(Journal!$H$5:$H$64,Journal!$D$5:$D$64,$B$3,Journal!$K$5:$K$64,"&lt;="&amp;17)-SUMIFS(Journal!$I$5:$I$64,Journal!$D$5:$D$64,$B$3,Journal!$K$5:$K$64,"&lt;="&amp;17),A9+SUMIFS(Journal!$I$5:$I$64,Journal!$D$5:$D$64,$B$3,Journal!$K$5:$K$64,"&lt;="&amp;17)-SUMIFS(Journal!$H$5:$H$64,Journal!$D$5:$D$64,$B$3,Journal!$K$5:$K$64,"&lt;="&amp;17)))</f>
        <v/>
      </c>
    </row>
    <row r="30" customFormat="false" ht="15" hidden="false" customHeight="false" outlineLevel="0" collapsed="false">
      <c r="A30" s="10" t="str">
        <f aca="false">IFERROR(INDEX(Journal!$C$5:$C$64,MATCH($B$3*1000+18,Journal!$L$5:$L$64,0)),"")</f>
        <v/>
      </c>
      <c r="B30" s="10" t="str">
        <f aca="false">IFERROR(INDEX(Journal!$B$5:$B$64,MATCH($B$3*1000+18,Journal!$L$5:$L$64,0)),"")</f>
        <v/>
      </c>
      <c r="C30" s="11" t="str">
        <f aca="false">IFERROR(INDEX(Journal!$G$5:$G$64,MATCH($B$3*1000+18,Journal!$L$5:$L$64,0)),"")</f>
        <v/>
      </c>
      <c r="D30" s="24" t="str">
        <f aca="false">IFERROR(INDEX(Journal!$H$5:$H$64,MATCH($B$3*1000+18,Journal!$L$5:$L$64,0)),"")</f>
        <v/>
      </c>
      <c r="E30" s="24" t="str">
        <f aca="false">IFERROR(INDEX(Journal!$I$5:$I$64,MATCH($B$3*1000+18,Journal!$L$5:$L$64,0)),"")</f>
        <v/>
      </c>
      <c r="F30" s="24" t="str">
        <f aca="false">IF(D30="","",IF($B$6="مدين",A9+SUMIFS(Journal!$H$5:$H$64,Journal!$D$5:$D$64,$B$3,Journal!$K$5:$K$64,"&lt;="&amp;18)-SUMIFS(Journal!$I$5:$I$64,Journal!$D$5:$D$64,$B$3,Journal!$K$5:$K$64,"&lt;="&amp;18),A9+SUMIFS(Journal!$I$5:$I$64,Journal!$D$5:$D$64,$B$3,Journal!$K$5:$K$64,"&lt;="&amp;18)-SUMIFS(Journal!$H$5:$H$64,Journal!$D$5:$D$64,$B$3,Journal!$K$5:$K$64,"&lt;="&amp;18)))</f>
        <v/>
      </c>
    </row>
    <row r="31" customFormat="false" ht="15" hidden="false" customHeight="false" outlineLevel="0" collapsed="false">
      <c r="A31" s="10" t="str">
        <f aca="false">IFERROR(INDEX(Journal!$C$5:$C$64,MATCH($B$3*1000+19,Journal!$L$5:$L$64,0)),"")</f>
        <v/>
      </c>
      <c r="B31" s="10" t="str">
        <f aca="false">IFERROR(INDEX(Journal!$B$5:$B$64,MATCH($B$3*1000+19,Journal!$L$5:$L$64,0)),"")</f>
        <v/>
      </c>
      <c r="C31" s="11" t="str">
        <f aca="false">IFERROR(INDEX(Journal!$G$5:$G$64,MATCH($B$3*1000+19,Journal!$L$5:$L$64,0)),"")</f>
        <v/>
      </c>
      <c r="D31" s="24" t="str">
        <f aca="false">IFERROR(INDEX(Journal!$H$5:$H$64,MATCH($B$3*1000+19,Journal!$L$5:$L$64,0)),"")</f>
        <v/>
      </c>
      <c r="E31" s="24" t="str">
        <f aca="false">IFERROR(INDEX(Journal!$I$5:$I$64,MATCH($B$3*1000+19,Journal!$L$5:$L$64,0)),"")</f>
        <v/>
      </c>
      <c r="F31" s="24" t="str">
        <f aca="false">IF(D31="","",IF($B$6="مدين",A9+SUMIFS(Journal!$H$5:$H$64,Journal!$D$5:$D$64,$B$3,Journal!$K$5:$K$64,"&lt;="&amp;19)-SUMIFS(Journal!$I$5:$I$64,Journal!$D$5:$D$64,$B$3,Journal!$K$5:$K$64,"&lt;="&amp;19),A9+SUMIFS(Journal!$I$5:$I$64,Journal!$D$5:$D$64,$B$3,Journal!$K$5:$K$64,"&lt;="&amp;19)-SUMIFS(Journal!$H$5:$H$64,Journal!$D$5:$D$64,$B$3,Journal!$K$5:$K$64,"&lt;="&amp;19)))</f>
        <v/>
      </c>
    </row>
    <row r="32" customFormat="false" ht="15" hidden="false" customHeight="false" outlineLevel="0" collapsed="false">
      <c r="A32" s="10" t="str">
        <f aca="false">IFERROR(INDEX(Journal!$C$5:$C$64,MATCH($B$3*1000+20,Journal!$L$5:$L$64,0)),"")</f>
        <v/>
      </c>
      <c r="B32" s="10" t="str">
        <f aca="false">IFERROR(INDEX(Journal!$B$5:$B$64,MATCH($B$3*1000+20,Journal!$L$5:$L$64,0)),"")</f>
        <v/>
      </c>
      <c r="C32" s="11" t="str">
        <f aca="false">IFERROR(INDEX(Journal!$G$5:$G$64,MATCH($B$3*1000+20,Journal!$L$5:$L$64,0)),"")</f>
        <v/>
      </c>
      <c r="D32" s="24" t="str">
        <f aca="false">IFERROR(INDEX(Journal!$H$5:$H$64,MATCH($B$3*1000+20,Journal!$L$5:$L$64,0)),"")</f>
        <v/>
      </c>
      <c r="E32" s="24" t="str">
        <f aca="false">IFERROR(INDEX(Journal!$I$5:$I$64,MATCH($B$3*1000+20,Journal!$L$5:$L$64,0)),"")</f>
        <v/>
      </c>
      <c r="F32" s="24" t="str">
        <f aca="false">IF(D32="","",IF($B$6="مدين",A9+SUMIFS(Journal!$H$5:$H$64,Journal!$D$5:$D$64,$B$3,Journal!$K$5:$K$64,"&lt;="&amp;20)-SUMIFS(Journal!$I$5:$I$64,Journal!$D$5:$D$64,$B$3,Journal!$K$5:$K$64,"&lt;="&amp;20),A9+SUMIFS(Journal!$I$5:$I$64,Journal!$D$5:$D$64,$B$3,Journal!$K$5:$K$64,"&lt;="&amp;20)-SUMIFS(Journal!$H$5:$H$64,Journal!$D$5:$D$64,$B$3,Journal!$K$5:$K$64,"&lt;="&amp;20)))</f>
        <v/>
      </c>
    </row>
    <row r="33" customFormat="false" ht="15" hidden="false" customHeight="false" outlineLevel="0" collapsed="false">
      <c r="A33" s="10" t="str">
        <f aca="false">IFERROR(INDEX(Journal!$C$5:$C$64,MATCH($B$3*1000+21,Journal!$L$5:$L$64,0)),"")</f>
        <v/>
      </c>
      <c r="B33" s="10" t="str">
        <f aca="false">IFERROR(INDEX(Journal!$B$5:$B$64,MATCH($B$3*1000+21,Journal!$L$5:$L$64,0)),"")</f>
        <v/>
      </c>
      <c r="C33" s="11" t="str">
        <f aca="false">IFERROR(INDEX(Journal!$G$5:$G$64,MATCH($B$3*1000+21,Journal!$L$5:$L$64,0)),"")</f>
        <v/>
      </c>
      <c r="D33" s="24" t="str">
        <f aca="false">IFERROR(INDEX(Journal!$H$5:$H$64,MATCH($B$3*1000+21,Journal!$L$5:$L$64,0)),"")</f>
        <v/>
      </c>
      <c r="E33" s="24" t="str">
        <f aca="false">IFERROR(INDEX(Journal!$I$5:$I$64,MATCH($B$3*1000+21,Journal!$L$5:$L$64,0)),"")</f>
        <v/>
      </c>
      <c r="F33" s="24" t="str">
        <f aca="false">IF(D33="","",IF($B$6="مدين",A9+SUMIFS(Journal!$H$5:$H$64,Journal!$D$5:$D$64,$B$3,Journal!$K$5:$K$64,"&lt;="&amp;21)-SUMIFS(Journal!$I$5:$I$64,Journal!$D$5:$D$64,$B$3,Journal!$K$5:$K$64,"&lt;="&amp;21),A9+SUMIFS(Journal!$I$5:$I$64,Journal!$D$5:$D$64,$B$3,Journal!$K$5:$K$64,"&lt;="&amp;21)-SUMIFS(Journal!$H$5:$H$64,Journal!$D$5:$D$64,$B$3,Journal!$K$5:$K$64,"&lt;="&amp;21)))</f>
        <v/>
      </c>
    </row>
    <row r="34" customFormat="false" ht="15" hidden="false" customHeight="false" outlineLevel="0" collapsed="false">
      <c r="A34" s="10" t="str">
        <f aca="false">IFERROR(INDEX(Journal!$C$5:$C$64,MATCH($B$3*1000+22,Journal!$L$5:$L$64,0)),"")</f>
        <v/>
      </c>
      <c r="B34" s="10" t="str">
        <f aca="false">IFERROR(INDEX(Journal!$B$5:$B$64,MATCH($B$3*1000+22,Journal!$L$5:$L$64,0)),"")</f>
        <v/>
      </c>
      <c r="C34" s="11" t="str">
        <f aca="false">IFERROR(INDEX(Journal!$G$5:$G$64,MATCH($B$3*1000+22,Journal!$L$5:$L$64,0)),"")</f>
        <v/>
      </c>
      <c r="D34" s="24" t="str">
        <f aca="false">IFERROR(INDEX(Journal!$H$5:$H$64,MATCH($B$3*1000+22,Journal!$L$5:$L$64,0)),"")</f>
        <v/>
      </c>
      <c r="E34" s="24" t="str">
        <f aca="false">IFERROR(INDEX(Journal!$I$5:$I$64,MATCH($B$3*1000+22,Journal!$L$5:$L$64,0)),"")</f>
        <v/>
      </c>
      <c r="F34" s="24" t="str">
        <f aca="false">IF(D34="","",IF($B$6="مدين",A9+SUMIFS(Journal!$H$5:$H$64,Journal!$D$5:$D$64,$B$3,Journal!$K$5:$K$64,"&lt;="&amp;22)-SUMIFS(Journal!$I$5:$I$64,Journal!$D$5:$D$64,$B$3,Journal!$K$5:$K$64,"&lt;="&amp;22),A9+SUMIFS(Journal!$I$5:$I$64,Journal!$D$5:$D$64,$B$3,Journal!$K$5:$K$64,"&lt;="&amp;22)-SUMIFS(Journal!$H$5:$H$64,Journal!$D$5:$D$64,$B$3,Journal!$K$5:$K$64,"&lt;="&amp;22)))</f>
        <v/>
      </c>
    </row>
    <row r="35" customFormat="false" ht="15" hidden="false" customHeight="false" outlineLevel="0" collapsed="false">
      <c r="A35" s="10" t="str">
        <f aca="false">IFERROR(INDEX(Journal!$C$5:$C$64,MATCH($B$3*1000+23,Journal!$L$5:$L$64,0)),"")</f>
        <v/>
      </c>
      <c r="B35" s="10" t="str">
        <f aca="false">IFERROR(INDEX(Journal!$B$5:$B$64,MATCH($B$3*1000+23,Journal!$L$5:$L$64,0)),"")</f>
        <v/>
      </c>
      <c r="C35" s="11" t="str">
        <f aca="false">IFERROR(INDEX(Journal!$G$5:$G$64,MATCH($B$3*1000+23,Journal!$L$5:$L$64,0)),"")</f>
        <v/>
      </c>
      <c r="D35" s="24" t="str">
        <f aca="false">IFERROR(INDEX(Journal!$H$5:$H$64,MATCH($B$3*1000+23,Journal!$L$5:$L$64,0)),"")</f>
        <v/>
      </c>
      <c r="E35" s="24" t="str">
        <f aca="false">IFERROR(INDEX(Journal!$I$5:$I$64,MATCH($B$3*1000+23,Journal!$L$5:$L$64,0)),"")</f>
        <v/>
      </c>
      <c r="F35" s="24" t="str">
        <f aca="false">IF(D35="","",IF($B$6="مدين",A9+SUMIFS(Journal!$H$5:$H$64,Journal!$D$5:$D$64,$B$3,Journal!$K$5:$K$64,"&lt;="&amp;23)-SUMIFS(Journal!$I$5:$I$64,Journal!$D$5:$D$64,$B$3,Journal!$K$5:$K$64,"&lt;="&amp;23),A9+SUMIFS(Journal!$I$5:$I$64,Journal!$D$5:$D$64,$B$3,Journal!$K$5:$K$64,"&lt;="&amp;23)-SUMIFS(Journal!$H$5:$H$64,Journal!$D$5:$D$64,$B$3,Journal!$K$5:$K$64,"&lt;="&amp;23)))</f>
        <v/>
      </c>
    </row>
    <row r="36" customFormat="false" ht="15" hidden="false" customHeight="false" outlineLevel="0" collapsed="false">
      <c r="A36" s="10" t="str">
        <f aca="false">IFERROR(INDEX(Journal!$C$5:$C$64,MATCH($B$3*1000+24,Journal!$L$5:$L$64,0)),"")</f>
        <v/>
      </c>
      <c r="B36" s="10" t="str">
        <f aca="false">IFERROR(INDEX(Journal!$B$5:$B$64,MATCH($B$3*1000+24,Journal!$L$5:$L$64,0)),"")</f>
        <v/>
      </c>
      <c r="C36" s="11" t="str">
        <f aca="false">IFERROR(INDEX(Journal!$G$5:$G$64,MATCH($B$3*1000+24,Journal!$L$5:$L$64,0)),"")</f>
        <v/>
      </c>
      <c r="D36" s="24" t="str">
        <f aca="false">IFERROR(INDEX(Journal!$H$5:$H$64,MATCH($B$3*1000+24,Journal!$L$5:$L$64,0)),"")</f>
        <v/>
      </c>
      <c r="E36" s="24" t="str">
        <f aca="false">IFERROR(INDEX(Journal!$I$5:$I$64,MATCH($B$3*1000+24,Journal!$L$5:$L$64,0)),"")</f>
        <v/>
      </c>
      <c r="F36" s="24" t="str">
        <f aca="false">IF(D36="","",IF($B$6="مدين",A9+SUMIFS(Journal!$H$5:$H$64,Journal!$D$5:$D$64,$B$3,Journal!$K$5:$K$64,"&lt;="&amp;24)-SUMIFS(Journal!$I$5:$I$64,Journal!$D$5:$D$64,$B$3,Journal!$K$5:$K$64,"&lt;="&amp;24),A9+SUMIFS(Journal!$I$5:$I$64,Journal!$D$5:$D$64,$B$3,Journal!$K$5:$K$64,"&lt;="&amp;24)-SUMIFS(Journal!$H$5:$H$64,Journal!$D$5:$D$64,$B$3,Journal!$K$5:$K$64,"&lt;="&amp;24)))</f>
        <v/>
      </c>
    </row>
    <row r="37" customFormat="false" ht="15" hidden="false" customHeight="false" outlineLevel="0" collapsed="false">
      <c r="A37" s="10" t="str">
        <f aca="false">IFERROR(INDEX(Journal!$C$5:$C$64,MATCH($B$3*1000+25,Journal!$L$5:$L$64,0)),"")</f>
        <v/>
      </c>
      <c r="B37" s="10" t="str">
        <f aca="false">IFERROR(INDEX(Journal!$B$5:$B$64,MATCH($B$3*1000+25,Journal!$L$5:$L$64,0)),"")</f>
        <v/>
      </c>
      <c r="C37" s="11" t="str">
        <f aca="false">IFERROR(INDEX(Journal!$G$5:$G$64,MATCH($B$3*1000+25,Journal!$L$5:$L$64,0)),"")</f>
        <v/>
      </c>
      <c r="D37" s="24" t="str">
        <f aca="false">IFERROR(INDEX(Journal!$H$5:$H$64,MATCH($B$3*1000+25,Journal!$L$5:$L$64,0)),"")</f>
        <v/>
      </c>
      <c r="E37" s="24" t="str">
        <f aca="false">IFERROR(INDEX(Journal!$I$5:$I$64,MATCH($B$3*1000+25,Journal!$L$5:$L$64,0)),"")</f>
        <v/>
      </c>
      <c r="F37" s="24" t="str">
        <f aca="false">IF(D37="","",IF($B$6="مدين",A9+SUMIFS(Journal!$H$5:$H$64,Journal!$D$5:$D$64,$B$3,Journal!$K$5:$K$64,"&lt;="&amp;25)-SUMIFS(Journal!$I$5:$I$64,Journal!$D$5:$D$64,$B$3,Journal!$K$5:$K$64,"&lt;="&amp;25),A9+SUMIFS(Journal!$I$5:$I$64,Journal!$D$5:$D$64,$B$3,Journal!$K$5:$K$64,"&lt;="&amp;25)-SUMIFS(Journal!$H$5:$H$64,Journal!$D$5:$D$64,$B$3,Journal!$K$5:$K$64,"&lt;="&amp;25)))</f>
        <v/>
      </c>
    </row>
    <row r="38" customFormat="false" ht="15" hidden="false" customHeight="false" outlineLevel="0" collapsed="false">
      <c r="A38" s="10" t="str">
        <f aca="false">IFERROR(INDEX(Journal!$C$5:$C$64,MATCH($B$3*1000+26,Journal!$L$5:$L$64,0)),"")</f>
        <v/>
      </c>
      <c r="B38" s="10" t="str">
        <f aca="false">IFERROR(INDEX(Journal!$B$5:$B$64,MATCH($B$3*1000+26,Journal!$L$5:$L$64,0)),"")</f>
        <v/>
      </c>
      <c r="C38" s="11" t="str">
        <f aca="false">IFERROR(INDEX(Journal!$G$5:$G$64,MATCH($B$3*1000+26,Journal!$L$5:$L$64,0)),"")</f>
        <v/>
      </c>
      <c r="D38" s="24" t="str">
        <f aca="false">IFERROR(INDEX(Journal!$H$5:$H$64,MATCH($B$3*1000+26,Journal!$L$5:$L$64,0)),"")</f>
        <v/>
      </c>
      <c r="E38" s="24" t="str">
        <f aca="false">IFERROR(INDEX(Journal!$I$5:$I$64,MATCH($B$3*1000+26,Journal!$L$5:$L$64,0)),"")</f>
        <v/>
      </c>
      <c r="F38" s="24" t="str">
        <f aca="false">IF(D38="","",IF($B$6="مدين",A9+SUMIFS(Journal!$H$5:$H$64,Journal!$D$5:$D$64,$B$3,Journal!$K$5:$K$64,"&lt;="&amp;26)-SUMIFS(Journal!$I$5:$I$64,Journal!$D$5:$D$64,$B$3,Journal!$K$5:$K$64,"&lt;="&amp;26),A9+SUMIFS(Journal!$I$5:$I$64,Journal!$D$5:$D$64,$B$3,Journal!$K$5:$K$64,"&lt;="&amp;26)-SUMIFS(Journal!$H$5:$H$64,Journal!$D$5:$D$64,$B$3,Journal!$K$5:$K$64,"&lt;="&amp;26)))</f>
        <v/>
      </c>
    </row>
    <row r="39" customFormat="false" ht="15" hidden="false" customHeight="false" outlineLevel="0" collapsed="false">
      <c r="A39" s="10" t="str">
        <f aca="false">IFERROR(INDEX(Journal!$C$5:$C$64,MATCH($B$3*1000+27,Journal!$L$5:$L$64,0)),"")</f>
        <v/>
      </c>
      <c r="B39" s="10" t="str">
        <f aca="false">IFERROR(INDEX(Journal!$B$5:$B$64,MATCH($B$3*1000+27,Journal!$L$5:$L$64,0)),"")</f>
        <v/>
      </c>
      <c r="C39" s="11" t="str">
        <f aca="false">IFERROR(INDEX(Journal!$G$5:$G$64,MATCH($B$3*1000+27,Journal!$L$5:$L$64,0)),"")</f>
        <v/>
      </c>
      <c r="D39" s="24" t="str">
        <f aca="false">IFERROR(INDEX(Journal!$H$5:$H$64,MATCH($B$3*1000+27,Journal!$L$5:$L$64,0)),"")</f>
        <v/>
      </c>
      <c r="E39" s="24" t="str">
        <f aca="false">IFERROR(INDEX(Journal!$I$5:$I$64,MATCH($B$3*1000+27,Journal!$L$5:$L$64,0)),"")</f>
        <v/>
      </c>
      <c r="F39" s="24" t="str">
        <f aca="false">IF(D39="","",IF($B$6="مدين",A9+SUMIFS(Journal!$H$5:$H$64,Journal!$D$5:$D$64,$B$3,Journal!$K$5:$K$64,"&lt;="&amp;27)-SUMIFS(Journal!$I$5:$I$64,Journal!$D$5:$D$64,$B$3,Journal!$K$5:$K$64,"&lt;="&amp;27),A9+SUMIFS(Journal!$I$5:$I$64,Journal!$D$5:$D$64,$B$3,Journal!$K$5:$K$64,"&lt;="&amp;27)-SUMIFS(Journal!$H$5:$H$64,Journal!$D$5:$D$64,$B$3,Journal!$K$5:$K$64,"&lt;="&amp;27)))</f>
        <v/>
      </c>
    </row>
    <row r="40" customFormat="false" ht="15" hidden="false" customHeight="false" outlineLevel="0" collapsed="false">
      <c r="A40" s="10" t="str">
        <f aca="false">IFERROR(INDEX(Journal!$C$5:$C$64,MATCH($B$3*1000+28,Journal!$L$5:$L$64,0)),"")</f>
        <v/>
      </c>
      <c r="B40" s="10" t="str">
        <f aca="false">IFERROR(INDEX(Journal!$B$5:$B$64,MATCH($B$3*1000+28,Journal!$L$5:$L$64,0)),"")</f>
        <v/>
      </c>
      <c r="C40" s="11" t="str">
        <f aca="false">IFERROR(INDEX(Journal!$G$5:$G$64,MATCH($B$3*1000+28,Journal!$L$5:$L$64,0)),"")</f>
        <v/>
      </c>
      <c r="D40" s="24" t="str">
        <f aca="false">IFERROR(INDEX(Journal!$H$5:$H$64,MATCH($B$3*1000+28,Journal!$L$5:$L$64,0)),"")</f>
        <v/>
      </c>
      <c r="E40" s="24" t="str">
        <f aca="false">IFERROR(INDEX(Journal!$I$5:$I$64,MATCH($B$3*1000+28,Journal!$L$5:$L$64,0)),"")</f>
        <v/>
      </c>
      <c r="F40" s="24" t="str">
        <f aca="false">IF(D40="","",IF($B$6="مدين",A9+SUMIFS(Journal!$H$5:$H$64,Journal!$D$5:$D$64,$B$3,Journal!$K$5:$K$64,"&lt;="&amp;28)-SUMIFS(Journal!$I$5:$I$64,Journal!$D$5:$D$64,$B$3,Journal!$K$5:$K$64,"&lt;="&amp;28),A9+SUMIFS(Journal!$I$5:$I$64,Journal!$D$5:$D$64,$B$3,Journal!$K$5:$K$64,"&lt;="&amp;28)-SUMIFS(Journal!$H$5:$H$64,Journal!$D$5:$D$64,$B$3,Journal!$K$5:$K$64,"&lt;="&amp;28)))</f>
        <v/>
      </c>
    </row>
    <row r="41" customFormat="false" ht="15" hidden="false" customHeight="false" outlineLevel="0" collapsed="false">
      <c r="A41" s="10" t="str">
        <f aca="false">IFERROR(INDEX(Journal!$C$5:$C$64,MATCH($B$3*1000+29,Journal!$L$5:$L$64,0)),"")</f>
        <v/>
      </c>
      <c r="B41" s="10" t="str">
        <f aca="false">IFERROR(INDEX(Journal!$B$5:$B$64,MATCH($B$3*1000+29,Journal!$L$5:$L$64,0)),"")</f>
        <v/>
      </c>
      <c r="C41" s="11" t="str">
        <f aca="false">IFERROR(INDEX(Journal!$G$5:$G$64,MATCH($B$3*1000+29,Journal!$L$5:$L$64,0)),"")</f>
        <v/>
      </c>
      <c r="D41" s="24" t="str">
        <f aca="false">IFERROR(INDEX(Journal!$H$5:$H$64,MATCH($B$3*1000+29,Journal!$L$5:$L$64,0)),"")</f>
        <v/>
      </c>
      <c r="E41" s="24" t="str">
        <f aca="false">IFERROR(INDEX(Journal!$I$5:$I$64,MATCH($B$3*1000+29,Journal!$L$5:$L$64,0)),"")</f>
        <v/>
      </c>
      <c r="F41" s="24" t="str">
        <f aca="false">IF(D41="","",IF($B$6="مدين",A9+SUMIFS(Journal!$H$5:$H$64,Journal!$D$5:$D$64,$B$3,Journal!$K$5:$K$64,"&lt;="&amp;29)-SUMIFS(Journal!$I$5:$I$64,Journal!$D$5:$D$64,$B$3,Journal!$K$5:$K$64,"&lt;="&amp;29),A9+SUMIFS(Journal!$I$5:$I$64,Journal!$D$5:$D$64,$B$3,Journal!$K$5:$K$64,"&lt;="&amp;29)-SUMIFS(Journal!$H$5:$H$64,Journal!$D$5:$D$64,$B$3,Journal!$K$5:$K$64,"&lt;="&amp;29)))</f>
        <v/>
      </c>
    </row>
    <row r="42" customFormat="false" ht="15" hidden="false" customHeight="false" outlineLevel="0" collapsed="false">
      <c r="A42" s="10" t="str">
        <f aca="false">IFERROR(INDEX(Journal!$C$5:$C$64,MATCH($B$3*1000+30,Journal!$L$5:$L$64,0)),"")</f>
        <v/>
      </c>
      <c r="B42" s="10" t="str">
        <f aca="false">IFERROR(INDEX(Journal!$B$5:$B$64,MATCH($B$3*1000+30,Journal!$L$5:$L$64,0)),"")</f>
        <v/>
      </c>
      <c r="C42" s="11" t="str">
        <f aca="false">IFERROR(INDEX(Journal!$G$5:$G$64,MATCH($B$3*1000+30,Journal!$L$5:$L$64,0)),"")</f>
        <v/>
      </c>
      <c r="D42" s="24" t="str">
        <f aca="false">IFERROR(INDEX(Journal!$H$5:$H$64,MATCH($B$3*1000+30,Journal!$L$5:$L$64,0)),"")</f>
        <v/>
      </c>
      <c r="E42" s="24" t="str">
        <f aca="false">IFERROR(INDEX(Journal!$I$5:$I$64,MATCH($B$3*1000+30,Journal!$L$5:$L$64,0)),"")</f>
        <v/>
      </c>
      <c r="F42" s="24" t="str">
        <f aca="false">IF(D42="","",IF($B$6="مدين",A9+SUMIFS(Journal!$H$5:$H$64,Journal!$D$5:$D$64,$B$3,Journal!$K$5:$K$64,"&lt;="&amp;30)-SUMIFS(Journal!$I$5:$I$64,Journal!$D$5:$D$64,$B$3,Journal!$K$5:$K$64,"&lt;="&amp;30),A9+SUMIFS(Journal!$I$5:$I$64,Journal!$D$5:$D$64,$B$3,Journal!$K$5:$K$64,"&lt;="&amp;30)-SUMIFS(Journal!$H$5:$H$64,Journal!$D$5:$D$64,$B$3,Journal!$K$5:$K$64,"&lt;="&amp;30)))</f>
        <v/>
      </c>
    </row>
    <row r="43" customFormat="false" ht="15" hidden="false" customHeight="false" outlineLevel="0" collapsed="false">
      <c r="A43" s="10" t="str">
        <f aca="false">IFERROR(INDEX(Journal!$C$5:$C$64,MATCH($B$3*1000+31,Journal!$L$5:$L$64,0)),"")</f>
        <v/>
      </c>
      <c r="B43" s="10" t="str">
        <f aca="false">IFERROR(INDEX(Journal!$B$5:$B$64,MATCH($B$3*1000+31,Journal!$L$5:$L$64,0)),"")</f>
        <v/>
      </c>
      <c r="C43" s="11" t="str">
        <f aca="false">IFERROR(INDEX(Journal!$G$5:$G$64,MATCH($B$3*1000+31,Journal!$L$5:$L$64,0)),"")</f>
        <v/>
      </c>
      <c r="D43" s="24" t="str">
        <f aca="false">IFERROR(INDEX(Journal!$H$5:$H$64,MATCH($B$3*1000+31,Journal!$L$5:$L$64,0)),"")</f>
        <v/>
      </c>
      <c r="E43" s="24" t="str">
        <f aca="false">IFERROR(INDEX(Journal!$I$5:$I$64,MATCH($B$3*1000+31,Journal!$L$5:$L$64,0)),"")</f>
        <v/>
      </c>
      <c r="F43" s="24" t="str">
        <f aca="false">IF(D43="","",IF($B$6="مدين",A9+SUMIFS(Journal!$H$5:$H$64,Journal!$D$5:$D$64,$B$3,Journal!$K$5:$K$64,"&lt;="&amp;31)-SUMIFS(Journal!$I$5:$I$64,Journal!$D$5:$D$64,$B$3,Journal!$K$5:$K$64,"&lt;="&amp;31),A9+SUMIFS(Journal!$I$5:$I$64,Journal!$D$5:$D$64,$B$3,Journal!$K$5:$K$64,"&lt;="&amp;31)-SUMIFS(Journal!$H$5:$H$64,Journal!$D$5:$D$64,$B$3,Journal!$K$5:$K$64,"&lt;="&amp;31)))</f>
        <v/>
      </c>
    </row>
    <row r="44" customFormat="false" ht="15" hidden="false" customHeight="false" outlineLevel="0" collapsed="false">
      <c r="A44" s="10" t="str">
        <f aca="false">IFERROR(INDEX(Journal!$C$5:$C$64,MATCH($B$3*1000+32,Journal!$L$5:$L$64,0)),"")</f>
        <v/>
      </c>
      <c r="B44" s="10" t="str">
        <f aca="false">IFERROR(INDEX(Journal!$B$5:$B$64,MATCH($B$3*1000+32,Journal!$L$5:$L$64,0)),"")</f>
        <v/>
      </c>
      <c r="C44" s="11" t="str">
        <f aca="false">IFERROR(INDEX(Journal!$G$5:$G$64,MATCH($B$3*1000+32,Journal!$L$5:$L$64,0)),"")</f>
        <v/>
      </c>
      <c r="D44" s="24" t="str">
        <f aca="false">IFERROR(INDEX(Journal!$H$5:$H$64,MATCH($B$3*1000+32,Journal!$L$5:$L$64,0)),"")</f>
        <v/>
      </c>
      <c r="E44" s="24" t="str">
        <f aca="false">IFERROR(INDEX(Journal!$I$5:$I$64,MATCH($B$3*1000+32,Journal!$L$5:$L$64,0)),"")</f>
        <v/>
      </c>
      <c r="F44" s="24" t="str">
        <f aca="false">IF(D44="","",IF($B$6="مدين",A9+SUMIFS(Journal!$H$5:$H$64,Journal!$D$5:$D$64,$B$3,Journal!$K$5:$K$64,"&lt;="&amp;32)-SUMIFS(Journal!$I$5:$I$64,Journal!$D$5:$D$64,$B$3,Journal!$K$5:$K$64,"&lt;="&amp;32),A9+SUMIFS(Journal!$I$5:$I$64,Journal!$D$5:$D$64,$B$3,Journal!$K$5:$K$64,"&lt;="&amp;32)-SUMIFS(Journal!$H$5:$H$64,Journal!$D$5:$D$64,$B$3,Journal!$K$5:$K$64,"&lt;="&amp;32)))</f>
        <v/>
      </c>
    </row>
    <row r="45" customFormat="false" ht="15" hidden="false" customHeight="false" outlineLevel="0" collapsed="false">
      <c r="A45" s="10" t="str">
        <f aca="false">IFERROR(INDEX(Journal!$C$5:$C$64,MATCH($B$3*1000+33,Journal!$L$5:$L$64,0)),"")</f>
        <v/>
      </c>
      <c r="B45" s="10" t="str">
        <f aca="false">IFERROR(INDEX(Journal!$B$5:$B$64,MATCH($B$3*1000+33,Journal!$L$5:$L$64,0)),"")</f>
        <v/>
      </c>
      <c r="C45" s="11" t="str">
        <f aca="false">IFERROR(INDEX(Journal!$G$5:$G$64,MATCH($B$3*1000+33,Journal!$L$5:$L$64,0)),"")</f>
        <v/>
      </c>
      <c r="D45" s="24" t="str">
        <f aca="false">IFERROR(INDEX(Journal!$H$5:$H$64,MATCH($B$3*1000+33,Journal!$L$5:$L$64,0)),"")</f>
        <v/>
      </c>
      <c r="E45" s="24" t="str">
        <f aca="false">IFERROR(INDEX(Journal!$I$5:$I$64,MATCH($B$3*1000+33,Journal!$L$5:$L$64,0)),"")</f>
        <v/>
      </c>
      <c r="F45" s="24" t="str">
        <f aca="false">IF(D45="","",IF($B$6="مدين",A9+SUMIFS(Journal!$H$5:$H$64,Journal!$D$5:$D$64,$B$3,Journal!$K$5:$K$64,"&lt;="&amp;33)-SUMIFS(Journal!$I$5:$I$64,Journal!$D$5:$D$64,$B$3,Journal!$K$5:$K$64,"&lt;="&amp;33),A9+SUMIFS(Journal!$I$5:$I$64,Journal!$D$5:$D$64,$B$3,Journal!$K$5:$K$64,"&lt;="&amp;33)-SUMIFS(Journal!$H$5:$H$64,Journal!$D$5:$D$64,$B$3,Journal!$K$5:$K$64,"&lt;="&amp;33)))</f>
        <v/>
      </c>
    </row>
    <row r="46" customFormat="false" ht="15" hidden="false" customHeight="false" outlineLevel="0" collapsed="false">
      <c r="A46" s="10" t="str">
        <f aca="false">IFERROR(INDEX(Journal!$C$5:$C$64,MATCH($B$3*1000+34,Journal!$L$5:$L$64,0)),"")</f>
        <v/>
      </c>
      <c r="B46" s="10" t="str">
        <f aca="false">IFERROR(INDEX(Journal!$B$5:$B$64,MATCH($B$3*1000+34,Journal!$L$5:$L$64,0)),"")</f>
        <v/>
      </c>
      <c r="C46" s="11" t="str">
        <f aca="false">IFERROR(INDEX(Journal!$G$5:$G$64,MATCH($B$3*1000+34,Journal!$L$5:$L$64,0)),"")</f>
        <v/>
      </c>
      <c r="D46" s="24" t="str">
        <f aca="false">IFERROR(INDEX(Journal!$H$5:$H$64,MATCH($B$3*1000+34,Journal!$L$5:$L$64,0)),"")</f>
        <v/>
      </c>
      <c r="E46" s="24" t="str">
        <f aca="false">IFERROR(INDEX(Journal!$I$5:$I$64,MATCH($B$3*1000+34,Journal!$L$5:$L$64,0)),"")</f>
        <v/>
      </c>
      <c r="F46" s="24" t="str">
        <f aca="false">IF(D46="","",IF($B$6="مدين",A9+SUMIFS(Journal!$H$5:$H$64,Journal!$D$5:$D$64,$B$3,Journal!$K$5:$K$64,"&lt;="&amp;34)-SUMIFS(Journal!$I$5:$I$64,Journal!$D$5:$D$64,$B$3,Journal!$K$5:$K$64,"&lt;="&amp;34),A9+SUMIFS(Journal!$I$5:$I$64,Journal!$D$5:$D$64,$B$3,Journal!$K$5:$K$64,"&lt;="&amp;34)-SUMIFS(Journal!$H$5:$H$64,Journal!$D$5:$D$64,$B$3,Journal!$K$5:$K$64,"&lt;="&amp;34)))</f>
        <v/>
      </c>
    </row>
    <row r="47" customFormat="false" ht="15" hidden="false" customHeight="false" outlineLevel="0" collapsed="false">
      <c r="A47" s="10" t="str">
        <f aca="false">IFERROR(INDEX(Journal!$C$5:$C$64,MATCH($B$3*1000+35,Journal!$L$5:$L$64,0)),"")</f>
        <v/>
      </c>
      <c r="B47" s="10" t="str">
        <f aca="false">IFERROR(INDEX(Journal!$B$5:$B$64,MATCH($B$3*1000+35,Journal!$L$5:$L$64,0)),"")</f>
        <v/>
      </c>
      <c r="C47" s="11" t="str">
        <f aca="false">IFERROR(INDEX(Journal!$G$5:$G$64,MATCH($B$3*1000+35,Journal!$L$5:$L$64,0)),"")</f>
        <v/>
      </c>
      <c r="D47" s="24" t="str">
        <f aca="false">IFERROR(INDEX(Journal!$H$5:$H$64,MATCH($B$3*1000+35,Journal!$L$5:$L$64,0)),"")</f>
        <v/>
      </c>
      <c r="E47" s="24" t="str">
        <f aca="false">IFERROR(INDEX(Journal!$I$5:$I$64,MATCH($B$3*1000+35,Journal!$L$5:$L$64,0)),"")</f>
        <v/>
      </c>
      <c r="F47" s="24" t="str">
        <f aca="false">IF(D47="","",IF($B$6="مدين",A9+SUMIFS(Journal!$H$5:$H$64,Journal!$D$5:$D$64,$B$3,Journal!$K$5:$K$64,"&lt;="&amp;35)-SUMIFS(Journal!$I$5:$I$64,Journal!$D$5:$D$64,$B$3,Journal!$K$5:$K$64,"&lt;="&amp;35),A9+SUMIFS(Journal!$I$5:$I$64,Journal!$D$5:$D$64,$B$3,Journal!$K$5:$K$64,"&lt;="&amp;35)-SUMIFS(Journal!$H$5:$H$64,Journal!$D$5:$D$64,$B$3,Journal!$K$5:$K$64,"&lt;="&amp;35)))</f>
        <v/>
      </c>
    </row>
    <row r="48" customFormat="false" ht="15" hidden="false" customHeight="false" outlineLevel="0" collapsed="false">
      <c r="A48" s="10" t="str">
        <f aca="false">IFERROR(INDEX(Journal!$C$5:$C$64,MATCH($B$3*1000+36,Journal!$L$5:$L$64,0)),"")</f>
        <v/>
      </c>
      <c r="B48" s="10" t="str">
        <f aca="false">IFERROR(INDEX(Journal!$B$5:$B$64,MATCH($B$3*1000+36,Journal!$L$5:$L$64,0)),"")</f>
        <v/>
      </c>
      <c r="C48" s="11" t="str">
        <f aca="false">IFERROR(INDEX(Journal!$G$5:$G$64,MATCH($B$3*1000+36,Journal!$L$5:$L$64,0)),"")</f>
        <v/>
      </c>
      <c r="D48" s="24" t="str">
        <f aca="false">IFERROR(INDEX(Journal!$H$5:$H$64,MATCH($B$3*1000+36,Journal!$L$5:$L$64,0)),"")</f>
        <v/>
      </c>
      <c r="E48" s="24" t="str">
        <f aca="false">IFERROR(INDEX(Journal!$I$5:$I$64,MATCH($B$3*1000+36,Journal!$L$5:$L$64,0)),"")</f>
        <v/>
      </c>
      <c r="F48" s="24" t="str">
        <f aca="false">IF(D48="","",IF($B$6="مدين",A9+SUMIFS(Journal!$H$5:$H$64,Journal!$D$5:$D$64,$B$3,Journal!$K$5:$K$64,"&lt;="&amp;36)-SUMIFS(Journal!$I$5:$I$64,Journal!$D$5:$D$64,$B$3,Journal!$K$5:$K$64,"&lt;="&amp;36),A9+SUMIFS(Journal!$I$5:$I$64,Journal!$D$5:$D$64,$B$3,Journal!$K$5:$K$64,"&lt;="&amp;36)-SUMIFS(Journal!$H$5:$H$64,Journal!$D$5:$D$64,$B$3,Journal!$K$5:$K$64,"&lt;="&amp;36)))</f>
        <v/>
      </c>
    </row>
    <row r="49" customFormat="false" ht="15" hidden="false" customHeight="false" outlineLevel="0" collapsed="false">
      <c r="A49" s="10" t="str">
        <f aca="false">IFERROR(INDEX(Journal!$C$5:$C$64,MATCH($B$3*1000+37,Journal!$L$5:$L$64,0)),"")</f>
        <v/>
      </c>
      <c r="B49" s="10" t="str">
        <f aca="false">IFERROR(INDEX(Journal!$B$5:$B$64,MATCH($B$3*1000+37,Journal!$L$5:$L$64,0)),"")</f>
        <v/>
      </c>
      <c r="C49" s="11" t="str">
        <f aca="false">IFERROR(INDEX(Journal!$G$5:$G$64,MATCH($B$3*1000+37,Journal!$L$5:$L$64,0)),"")</f>
        <v/>
      </c>
      <c r="D49" s="24" t="str">
        <f aca="false">IFERROR(INDEX(Journal!$H$5:$H$64,MATCH($B$3*1000+37,Journal!$L$5:$L$64,0)),"")</f>
        <v/>
      </c>
      <c r="E49" s="24" t="str">
        <f aca="false">IFERROR(INDEX(Journal!$I$5:$I$64,MATCH($B$3*1000+37,Journal!$L$5:$L$64,0)),"")</f>
        <v/>
      </c>
      <c r="F49" s="24" t="str">
        <f aca="false">IF(D49="","",IF($B$6="مدين",A9+SUMIFS(Journal!$H$5:$H$64,Journal!$D$5:$D$64,$B$3,Journal!$K$5:$K$64,"&lt;="&amp;37)-SUMIFS(Journal!$I$5:$I$64,Journal!$D$5:$D$64,$B$3,Journal!$K$5:$K$64,"&lt;="&amp;37),A9+SUMIFS(Journal!$I$5:$I$64,Journal!$D$5:$D$64,$B$3,Journal!$K$5:$K$64,"&lt;="&amp;37)-SUMIFS(Journal!$H$5:$H$64,Journal!$D$5:$D$64,$B$3,Journal!$K$5:$K$64,"&lt;="&amp;37)))</f>
        <v/>
      </c>
    </row>
    <row r="50" customFormat="false" ht="15" hidden="false" customHeight="false" outlineLevel="0" collapsed="false">
      <c r="A50" s="10" t="str">
        <f aca="false">IFERROR(INDEX(Journal!$C$5:$C$64,MATCH($B$3*1000+38,Journal!$L$5:$L$64,0)),"")</f>
        <v/>
      </c>
      <c r="B50" s="10" t="str">
        <f aca="false">IFERROR(INDEX(Journal!$B$5:$B$64,MATCH($B$3*1000+38,Journal!$L$5:$L$64,0)),"")</f>
        <v/>
      </c>
      <c r="C50" s="11" t="str">
        <f aca="false">IFERROR(INDEX(Journal!$G$5:$G$64,MATCH($B$3*1000+38,Journal!$L$5:$L$64,0)),"")</f>
        <v/>
      </c>
      <c r="D50" s="24" t="str">
        <f aca="false">IFERROR(INDEX(Journal!$H$5:$H$64,MATCH($B$3*1000+38,Journal!$L$5:$L$64,0)),"")</f>
        <v/>
      </c>
      <c r="E50" s="24" t="str">
        <f aca="false">IFERROR(INDEX(Journal!$I$5:$I$64,MATCH($B$3*1000+38,Journal!$L$5:$L$64,0)),"")</f>
        <v/>
      </c>
      <c r="F50" s="24" t="str">
        <f aca="false">IF(D50="","",IF($B$6="مدين",A9+SUMIFS(Journal!$H$5:$H$64,Journal!$D$5:$D$64,$B$3,Journal!$K$5:$K$64,"&lt;="&amp;38)-SUMIFS(Journal!$I$5:$I$64,Journal!$D$5:$D$64,$B$3,Journal!$K$5:$K$64,"&lt;="&amp;38),A9+SUMIFS(Journal!$I$5:$I$64,Journal!$D$5:$D$64,$B$3,Journal!$K$5:$K$64,"&lt;="&amp;38)-SUMIFS(Journal!$H$5:$H$64,Journal!$D$5:$D$64,$B$3,Journal!$K$5:$K$64,"&lt;="&amp;38)))</f>
        <v/>
      </c>
    </row>
    <row r="51" customFormat="false" ht="15" hidden="false" customHeight="false" outlineLevel="0" collapsed="false">
      <c r="A51" s="10" t="str">
        <f aca="false">IFERROR(INDEX(Journal!$C$5:$C$64,MATCH($B$3*1000+39,Journal!$L$5:$L$64,0)),"")</f>
        <v/>
      </c>
      <c r="B51" s="10" t="str">
        <f aca="false">IFERROR(INDEX(Journal!$B$5:$B$64,MATCH($B$3*1000+39,Journal!$L$5:$L$64,0)),"")</f>
        <v/>
      </c>
      <c r="C51" s="11" t="str">
        <f aca="false">IFERROR(INDEX(Journal!$G$5:$G$64,MATCH($B$3*1000+39,Journal!$L$5:$L$64,0)),"")</f>
        <v/>
      </c>
      <c r="D51" s="24" t="str">
        <f aca="false">IFERROR(INDEX(Journal!$H$5:$H$64,MATCH($B$3*1000+39,Journal!$L$5:$L$64,0)),"")</f>
        <v/>
      </c>
      <c r="E51" s="24" t="str">
        <f aca="false">IFERROR(INDEX(Journal!$I$5:$I$64,MATCH($B$3*1000+39,Journal!$L$5:$L$64,0)),"")</f>
        <v/>
      </c>
      <c r="F51" s="24" t="str">
        <f aca="false">IF(D51="","",IF($B$6="مدين",A9+SUMIFS(Journal!$H$5:$H$64,Journal!$D$5:$D$64,$B$3,Journal!$K$5:$K$64,"&lt;="&amp;39)-SUMIFS(Journal!$I$5:$I$64,Journal!$D$5:$D$64,$B$3,Journal!$K$5:$K$64,"&lt;="&amp;39),A9+SUMIFS(Journal!$I$5:$I$64,Journal!$D$5:$D$64,$B$3,Journal!$K$5:$K$64,"&lt;="&amp;39)-SUMIFS(Journal!$H$5:$H$64,Journal!$D$5:$D$64,$B$3,Journal!$K$5:$K$64,"&lt;="&amp;39)))</f>
        <v/>
      </c>
    </row>
    <row r="52" customFormat="false" ht="15" hidden="false" customHeight="false" outlineLevel="0" collapsed="false">
      <c r="A52" s="10" t="str">
        <f aca="false">IFERROR(INDEX(Journal!$C$5:$C$64,MATCH($B$3*1000+40,Journal!$L$5:$L$64,0)),"")</f>
        <v/>
      </c>
      <c r="B52" s="10" t="str">
        <f aca="false">IFERROR(INDEX(Journal!$B$5:$B$64,MATCH($B$3*1000+40,Journal!$L$5:$L$64,0)),"")</f>
        <v/>
      </c>
      <c r="C52" s="11" t="str">
        <f aca="false">IFERROR(INDEX(Journal!$G$5:$G$64,MATCH($B$3*1000+40,Journal!$L$5:$L$64,0)),"")</f>
        <v/>
      </c>
      <c r="D52" s="24" t="str">
        <f aca="false">IFERROR(INDEX(Journal!$H$5:$H$64,MATCH($B$3*1000+40,Journal!$L$5:$L$64,0)),"")</f>
        <v/>
      </c>
      <c r="E52" s="24" t="str">
        <f aca="false">IFERROR(INDEX(Journal!$I$5:$I$64,MATCH($B$3*1000+40,Journal!$L$5:$L$64,0)),"")</f>
        <v/>
      </c>
      <c r="F52" s="24" t="str">
        <f aca="false">IF(D52="","",IF($B$6="مدين",A9+SUMIFS(Journal!$H$5:$H$64,Journal!$D$5:$D$64,$B$3,Journal!$K$5:$K$64,"&lt;="&amp;40)-SUMIFS(Journal!$I$5:$I$64,Journal!$D$5:$D$64,$B$3,Journal!$K$5:$K$64,"&lt;="&amp;40),A9+SUMIFS(Journal!$I$5:$I$64,Journal!$D$5:$D$64,$B$3,Journal!$K$5:$K$64,"&lt;="&amp;40)-SUMIFS(Journal!$H$5:$H$64,Journal!$D$5:$D$64,$B$3,Journal!$K$5:$K$64,"&lt;="&amp;40)))</f>
        <v/>
      </c>
    </row>
    <row r="54" customFormat="false" ht="15" hidden="false" customHeight="true" outlineLevel="0" collapsed="false">
      <c r="A54" s="2" t="s">
        <v>20</v>
      </c>
      <c r="B54" s="2"/>
      <c r="C54" s="2"/>
      <c r="D54" s="2"/>
      <c r="E54" s="2"/>
      <c r="F54" s="2"/>
    </row>
  </sheetData>
  <mergeCells count="3">
    <mergeCell ref="A1:F1"/>
    <mergeCell ref="A11:F11"/>
    <mergeCell ref="A54:F54"/>
  </mergeCells>
  <dataValidations count="1">
    <dataValidation allowBlank="true" errorStyle="stop" operator="between" showDropDown="false" showErrorMessage="false" showInputMessage="false" sqref="B3" type="list">
      <formula1>COA!$A$4:$A$28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8" min="3" style="0" width="16"/>
  </cols>
  <sheetData>
    <row r="1" customFormat="false" ht="25.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95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9" t="s">
        <v>22</v>
      </c>
      <c r="B4" s="9" t="s">
        <v>23</v>
      </c>
      <c r="C4" s="9" t="s">
        <v>96</v>
      </c>
      <c r="D4" s="9" t="s">
        <v>97</v>
      </c>
      <c r="E4" s="9" t="s">
        <v>98</v>
      </c>
      <c r="F4" s="9" t="s">
        <v>99</v>
      </c>
      <c r="G4" s="9" t="s">
        <v>100</v>
      </c>
      <c r="H4" s="9" t="s">
        <v>101</v>
      </c>
    </row>
    <row r="5" customFormat="false" ht="15" hidden="false" customHeight="false" outlineLevel="0" collapsed="false">
      <c r="A5" s="10" t="n">
        <f aca="false">COA!$A$4</f>
        <v>1100</v>
      </c>
      <c r="B5" s="11" t="str">
        <f aca="false">COA!$B$4</f>
        <v>البنك</v>
      </c>
      <c r="C5" s="25" t="n">
        <f aca="false">SUMIF('Opening Balances'!$A$5:$A$6,A5,'Opening Balances'!$C$5:$C$6)</f>
        <v>20000000</v>
      </c>
      <c r="D5" s="25" t="n">
        <f aca="false">SUMIF('Opening Balances'!$A$5:$A$6,A5,'Opening Balances'!$D$5:$D$6)</f>
        <v>0</v>
      </c>
      <c r="E5" s="25" t="n">
        <f aca="false">SUMIF(Journal!$D$5:$D$64,A5,Journal!$H$5:$H$64)</f>
        <v>0</v>
      </c>
      <c r="F5" s="25" t="n">
        <f aca="false">SUMIF(Journal!$D$5:$D$64,A5,Journal!$I$5:$I$64)</f>
        <v>0</v>
      </c>
      <c r="G5" s="25" t="n">
        <f aca="false">IF((C5+E5)-(D5+F5)&gt;=0,(C5+E5)-(D5+F5),0)</f>
        <v>20000000</v>
      </c>
      <c r="H5" s="25" t="n">
        <f aca="false">IF((C5+E5)-(D5+F5)&lt;0,-((C5+E5)-(D5+F5)),0)</f>
        <v>0</v>
      </c>
    </row>
    <row r="6" customFormat="false" ht="15" hidden="false" customHeight="false" outlineLevel="0" collapsed="false">
      <c r="A6" s="10" t="n">
        <f aca="false">COA!$A$5</f>
        <v>1200</v>
      </c>
      <c r="B6" s="11" t="str">
        <f aca="false">COA!$B$5</f>
        <v>العملاء (المدينون)</v>
      </c>
      <c r="C6" s="25" t="n">
        <f aca="false">SUMIF('Opening Balances'!$A$5:$A$6,A6,'Opening Balances'!$C$5:$C$6)</f>
        <v>0</v>
      </c>
      <c r="D6" s="25" t="n">
        <f aca="false">SUMIF('Opening Balances'!$A$5:$A$6,A6,'Opening Balances'!$D$5:$D$6)</f>
        <v>0</v>
      </c>
      <c r="E6" s="25" t="n">
        <f aca="false">SUMIF(Journal!$D$5:$D$64,A6,Journal!$H$5:$H$64)</f>
        <v>0</v>
      </c>
      <c r="F6" s="25" t="n">
        <f aca="false">SUMIF(Journal!$D$5:$D$64,A6,Journal!$I$5:$I$64)</f>
        <v>0</v>
      </c>
      <c r="G6" s="25" t="n">
        <f aca="false">IF((C6+E6)-(D6+F6)&gt;=0,(C6+E6)-(D6+F6),0)</f>
        <v>0</v>
      </c>
      <c r="H6" s="25" t="n">
        <f aca="false">IF((C6+E6)-(D6+F6)&lt;0,-((C6+E6)-(D6+F6)),0)</f>
        <v>0</v>
      </c>
    </row>
    <row r="7" customFormat="false" ht="15" hidden="false" customHeight="false" outlineLevel="0" collapsed="false">
      <c r="A7" s="10" t="n">
        <f aca="false">COA!$A$6</f>
        <v>1300</v>
      </c>
      <c r="B7" s="11" t="str">
        <f aca="false">COA!$B$6</f>
        <v>المخزون</v>
      </c>
      <c r="C7" s="25" t="n">
        <f aca="false">SUMIF('Opening Balances'!$A$5:$A$6,A7,'Opening Balances'!$C$5:$C$6)</f>
        <v>0</v>
      </c>
      <c r="D7" s="25" t="n">
        <f aca="false">SUMIF('Opening Balances'!$A$5:$A$6,A7,'Opening Balances'!$D$5:$D$6)</f>
        <v>0</v>
      </c>
      <c r="E7" s="25" t="n">
        <f aca="false">SUMIF(Journal!$D$5:$D$64,A7,Journal!$H$5:$H$64)</f>
        <v>0</v>
      </c>
      <c r="F7" s="25" t="n">
        <f aca="false">SUMIF(Journal!$D$5:$D$64,A7,Journal!$I$5:$I$64)</f>
        <v>0</v>
      </c>
      <c r="G7" s="25" t="n">
        <f aca="false">IF((C7+E7)-(D7+F7)&gt;=0,(C7+E7)-(D7+F7),0)</f>
        <v>0</v>
      </c>
      <c r="H7" s="25" t="n">
        <f aca="false">IF((C7+E7)-(D7+F7)&lt;0,-((C7+E7)-(D7+F7)),0)</f>
        <v>0</v>
      </c>
    </row>
    <row r="8" customFormat="false" ht="15" hidden="false" customHeight="false" outlineLevel="0" collapsed="false">
      <c r="A8" s="10" t="n">
        <f aca="false">COA!$A$7</f>
        <v>1400</v>
      </c>
      <c r="B8" s="11" t="str">
        <f aca="false">COA!$B$7</f>
        <v>معدات وأجهزة</v>
      </c>
      <c r="C8" s="25" t="n">
        <f aca="false">SUMIF('Opening Balances'!$A$5:$A$6,A8,'Opening Balances'!$C$5:$C$6)</f>
        <v>0</v>
      </c>
      <c r="D8" s="25" t="n">
        <f aca="false">SUMIF('Opening Balances'!$A$5:$A$6,A8,'Opening Balances'!$D$5:$D$6)</f>
        <v>0</v>
      </c>
      <c r="E8" s="25" t="n">
        <f aca="false">SUMIF(Journal!$D$5:$D$64,A8,Journal!$H$5:$H$64)</f>
        <v>0</v>
      </c>
      <c r="F8" s="25" t="n">
        <f aca="false">SUMIF(Journal!$D$5:$D$64,A8,Journal!$I$5:$I$64)</f>
        <v>0</v>
      </c>
      <c r="G8" s="25" t="n">
        <f aca="false">IF((C8+E8)-(D8+F8)&gt;=0,(C8+E8)-(D8+F8),0)</f>
        <v>0</v>
      </c>
      <c r="H8" s="25" t="n">
        <f aca="false">IF((C8+E8)-(D8+F8)&lt;0,-((C8+E8)-(D8+F8)),0)</f>
        <v>0</v>
      </c>
    </row>
    <row r="9" customFormat="false" ht="15" hidden="false" customHeight="false" outlineLevel="0" collapsed="false">
      <c r="A9" s="10" t="n">
        <f aca="false">COA!$A$8</f>
        <v>1450</v>
      </c>
      <c r="B9" s="11" t="str">
        <f aca="false">COA!$B$8</f>
        <v>مجمع إهلاك المعدات</v>
      </c>
      <c r="C9" s="25" t="n">
        <f aca="false">SUMIF('Opening Balances'!$A$5:$A$6,A9,'Opening Balances'!$C$5:$C$6)</f>
        <v>0</v>
      </c>
      <c r="D9" s="25" t="n">
        <f aca="false">SUMIF('Opening Balances'!$A$5:$A$6,A9,'Opening Balances'!$D$5:$D$6)</f>
        <v>0</v>
      </c>
      <c r="E9" s="25" t="n">
        <f aca="false">SUMIF(Journal!$D$5:$D$64,A9,Journal!$H$5:$H$64)</f>
        <v>0</v>
      </c>
      <c r="F9" s="25" t="n">
        <f aca="false">SUMIF(Journal!$D$5:$D$64,A9,Journal!$I$5:$I$64)</f>
        <v>0</v>
      </c>
      <c r="G9" s="25" t="n">
        <f aca="false">IF((C9+E9)-(D9+F9)&gt;=0,(C9+E9)-(D9+F9),0)</f>
        <v>0</v>
      </c>
      <c r="H9" s="25" t="n">
        <f aca="false">IF((C9+E9)-(D9+F9)&lt;0,-((C9+E9)-(D9+F9)),0)</f>
        <v>0</v>
      </c>
    </row>
    <row r="10" customFormat="false" ht="15" hidden="false" customHeight="false" outlineLevel="0" collapsed="false">
      <c r="A10" s="10" t="n">
        <f aca="false">COA!$A$9</f>
        <v>1500</v>
      </c>
      <c r="B10" s="11" t="str">
        <f aca="false">COA!$B$9</f>
        <v>مصروفات مدفوعة مقدماً</v>
      </c>
      <c r="C10" s="25" t="n">
        <f aca="false">SUMIF('Opening Balances'!$A$5:$A$6,A10,'Opening Balances'!$C$5:$C$6)</f>
        <v>0</v>
      </c>
      <c r="D10" s="25" t="n">
        <f aca="false">SUMIF('Opening Balances'!$A$5:$A$6,A10,'Opening Balances'!$D$5:$D$6)</f>
        <v>0</v>
      </c>
      <c r="E10" s="25" t="n">
        <f aca="false">SUMIF(Journal!$D$5:$D$64,A10,Journal!$H$5:$H$64)</f>
        <v>0</v>
      </c>
      <c r="F10" s="25" t="n">
        <f aca="false">SUMIF(Journal!$D$5:$D$64,A10,Journal!$I$5:$I$64)</f>
        <v>0</v>
      </c>
      <c r="G10" s="25" t="n">
        <f aca="false">IF((C10+E10)-(D10+F10)&gt;=0,(C10+E10)-(D10+F10),0)</f>
        <v>0</v>
      </c>
      <c r="H10" s="25" t="n">
        <f aca="false">IF((C10+E10)-(D10+F10)&lt;0,-((C10+E10)-(D10+F10)),0)</f>
        <v>0</v>
      </c>
    </row>
    <row r="11" customFormat="false" ht="15" hidden="false" customHeight="false" outlineLevel="0" collapsed="false">
      <c r="A11" s="10" t="n">
        <f aca="false">COA!$A$10</f>
        <v>1600</v>
      </c>
      <c r="B11" s="11" t="str">
        <f aca="false">COA!$B$10</f>
        <v>ضريبة القيمة المضافة - مدخلات</v>
      </c>
      <c r="C11" s="25" t="n">
        <f aca="false">SUMIF('Opening Balances'!$A$5:$A$6,A11,'Opening Balances'!$C$5:$C$6)</f>
        <v>0</v>
      </c>
      <c r="D11" s="25" t="n">
        <f aca="false">SUMIF('Opening Balances'!$A$5:$A$6,A11,'Opening Balances'!$D$5:$D$6)</f>
        <v>0</v>
      </c>
      <c r="E11" s="25" t="n">
        <f aca="false">SUMIF(Journal!$D$5:$D$64,A11,Journal!$H$5:$H$64)</f>
        <v>0</v>
      </c>
      <c r="F11" s="25" t="n">
        <f aca="false">SUMIF(Journal!$D$5:$D$64,A11,Journal!$I$5:$I$64)</f>
        <v>0</v>
      </c>
      <c r="G11" s="25" t="n">
        <f aca="false">IF((C11+E11)-(D11+F11)&gt;=0,(C11+E11)-(D11+F11),0)</f>
        <v>0</v>
      </c>
      <c r="H11" s="25" t="n">
        <f aca="false">IF((C11+E11)-(D11+F11)&lt;0,-((C11+E11)-(D11+F11)),0)</f>
        <v>0</v>
      </c>
    </row>
    <row r="12" customFormat="false" ht="15" hidden="false" customHeight="false" outlineLevel="0" collapsed="false">
      <c r="A12" s="10" t="n">
        <f aca="false">COA!$A$11</f>
        <v>2100</v>
      </c>
      <c r="B12" s="11" t="str">
        <f aca="false">COA!$B$11</f>
        <v>الموردون (الدائنون)</v>
      </c>
      <c r="C12" s="25" t="n">
        <f aca="false">SUMIF('Opening Balances'!$A$5:$A$6,A12,'Opening Balances'!$C$5:$C$6)</f>
        <v>0</v>
      </c>
      <c r="D12" s="25" t="n">
        <f aca="false">SUMIF('Opening Balances'!$A$5:$A$6,A12,'Opening Balances'!$D$5:$D$6)</f>
        <v>0</v>
      </c>
      <c r="E12" s="25" t="n">
        <f aca="false">SUMIF(Journal!$D$5:$D$64,A12,Journal!$H$5:$H$64)</f>
        <v>0</v>
      </c>
      <c r="F12" s="25" t="n">
        <f aca="false">SUMIF(Journal!$D$5:$D$64,A12,Journal!$I$5:$I$64)</f>
        <v>0</v>
      </c>
      <c r="G12" s="25" t="n">
        <f aca="false">IF((C12+E12)-(D12+F12)&gt;=0,(C12+E12)-(D12+F12),0)</f>
        <v>0</v>
      </c>
      <c r="H12" s="25" t="n">
        <f aca="false">IF((C12+E12)-(D12+F12)&lt;0,-((C12+E12)-(D12+F12)),0)</f>
        <v>0</v>
      </c>
    </row>
    <row r="13" customFormat="false" ht="15" hidden="false" customHeight="false" outlineLevel="0" collapsed="false">
      <c r="A13" s="10" t="n">
        <f aca="false">COA!$A$12</f>
        <v>2200</v>
      </c>
      <c r="B13" s="11" t="str">
        <f aca="false">COA!$B$12</f>
        <v>مصروفات مستحقة</v>
      </c>
      <c r="C13" s="25" t="n">
        <f aca="false">SUMIF('Opening Balances'!$A$5:$A$6,A13,'Opening Balances'!$C$5:$C$6)</f>
        <v>0</v>
      </c>
      <c r="D13" s="25" t="n">
        <f aca="false">SUMIF('Opening Balances'!$A$5:$A$6,A13,'Opening Balances'!$D$5:$D$6)</f>
        <v>0</v>
      </c>
      <c r="E13" s="25" t="n">
        <f aca="false">SUMIF(Journal!$D$5:$D$64,A13,Journal!$H$5:$H$64)</f>
        <v>0</v>
      </c>
      <c r="F13" s="25" t="n">
        <f aca="false">SUMIF(Journal!$D$5:$D$64,A13,Journal!$I$5:$I$64)</f>
        <v>0</v>
      </c>
      <c r="G13" s="25" t="n">
        <f aca="false">IF((C13+E13)-(D13+F13)&gt;=0,(C13+E13)-(D13+F13),0)</f>
        <v>0</v>
      </c>
      <c r="H13" s="25" t="n">
        <f aca="false">IF((C13+E13)-(D13+F13)&lt;0,-((C13+E13)-(D13+F13)),0)</f>
        <v>0</v>
      </c>
    </row>
    <row r="14" customFormat="false" ht="15" hidden="false" customHeight="false" outlineLevel="0" collapsed="false">
      <c r="A14" s="10" t="n">
        <f aca="false">COA!$A$13</f>
        <v>2300</v>
      </c>
      <c r="B14" s="11" t="str">
        <f aca="false">COA!$B$13</f>
        <v>ضريبة القيمة المضافة - مخرجات</v>
      </c>
      <c r="C14" s="25" t="n">
        <f aca="false">SUMIF('Opening Balances'!$A$5:$A$6,A14,'Opening Balances'!$C$5:$C$6)</f>
        <v>0</v>
      </c>
      <c r="D14" s="25" t="n">
        <f aca="false">SUMIF('Opening Balances'!$A$5:$A$6,A14,'Opening Balances'!$D$5:$D$6)</f>
        <v>0</v>
      </c>
      <c r="E14" s="25" t="n">
        <f aca="false">SUMIF(Journal!$D$5:$D$64,A14,Journal!$H$5:$H$64)</f>
        <v>0</v>
      </c>
      <c r="F14" s="25" t="n">
        <f aca="false">SUMIF(Journal!$D$5:$D$64,A14,Journal!$I$5:$I$64)</f>
        <v>0</v>
      </c>
      <c r="G14" s="25" t="n">
        <f aca="false">IF((C14+E14)-(D14+F14)&gt;=0,(C14+E14)-(D14+F14),0)</f>
        <v>0</v>
      </c>
      <c r="H14" s="25" t="n">
        <f aca="false">IF((C14+E14)-(D14+F14)&lt;0,-((C14+E14)-(D14+F14)),0)</f>
        <v>0</v>
      </c>
    </row>
    <row r="15" customFormat="false" ht="15" hidden="false" customHeight="false" outlineLevel="0" collapsed="false">
      <c r="A15" s="10" t="n">
        <f aca="false">COA!$A$14</f>
        <v>2400</v>
      </c>
      <c r="B15" s="11" t="str">
        <f aca="false">COA!$B$14</f>
        <v>ضريبة الدخل مستحقة</v>
      </c>
      <c r="C15" s="25" t="n">
        <f aca="false">SUMIF('Opening Balances'!$A$5:$A$6,A15,'Opening Balances'!$C$5:$C$6)</f>
        <v>0</v>
      </c>
      <c r="D15" s="25" t="n">
        <f aca="false">SUMIF('Opening Balances'!$A$5:$A$6,A15,'Opening Balances'!$D$5:$D$6)</f>
        <v>0</v>
      </c>
      <c r="E15" s="25" t="n">
        <f aca="false">SUMIF(Journal!$D$5:$D$64,A15,Journal!$H$5:$H$64)</f>
        <v>0</v>
      </c>
      <c r="F15" s="25" t="n">
        <f aca="false">SUMIF(Journal!$D$5:$D$64,A15,Journal!$I$5:$I$64)</f>
        <v>0</v>
      </c>
      <c r="G15" s="25" t="n">
        <f aca="false">IF((C15+E15)-(D15+F15)&gt;=0,(C15+E15)-(D15+F15),0)</f>
        <v>0</v>
      </c>
      <c r="H15" s="25" t="n">
        <f aca="false">IF((C15+E15)-(D15+F15)&lt;0,-((C15+E15)-(D15+F15)),0)</f>
        <v>0</v>
      </c>
    </row>
    <row r="16" customFormat="false" ht="15" hidden="false" customHeight="false" outlineLevel="0" collapsed="false">
      <c r="A16" s="10" t="n">
        <f aca="false">COA!$A$15</f>
        <v>2500</v>
      </c>
      <c r="B16" s="11" t="str">
        <f aca="false">COA!$B$15</f>
        <v>قرض قصير الأجل</v>
      </c>
      <c r="C16" s="25" t="n">
        <f aca="false">SUMIF('Opening Balances'!$A$5:$A$6,A16,'Opening Balances'!$C$5:$C$6)</f>
        <v>0</v>
      </c>
      <c r="D16" s="25" t="n">
        <f aca="false">SUMIF('Opening Balances'!$A$5:$A$6,A16,'Opening Balances'!$D$5:$D$6)</f>
        <v>0</v>
      </c>
      <c r="E16" s="25" t="n">
        <f aca="false">SUMIF(Journal!$D$5:$D$64,A16,Journal!$H$5:$H$64)</f>
        <v>0</v>
      </c>
      <c r="F16" s="25" t="n">
        <f aca="false">SUMIF(Journal!$D$5:$D$64,A16,Journal!$I$5:$I$64)</f>
        <v>0</v>
      </c>
      <c r="G16" s="25" t="n">
        <f aca="false">IF((C16+E16)-(D16+F16)&gt;=0,(C16+E16)-(D16+F16),0)</f>
        <v>0</v>
      </c>
      <c r="H16" s="25" t="n">
        <f aca="false">IF((C16+E16)-(D16+F16)&lt;0,-((C16+E16)-(D16+F16)),0)</f>
        <v>0</v>
      </c>
    </row>
    <row r="17" customFormat="false" ht="15" hidden="false" customHeight="false" outlineLevel="0" collapsed="false">
      <c r="A17" s="10" t="n">
        <f aca="false">COA!$A$16</f>
        <v>3100</v>
      </c>
      <c r="B17" s="11" t="str">
        <f aca="false">COA!$B$16</f>
        <v>رأس المال</v>
      </c>
      <c r="C17" s="25" t="n">
        <f aca="false">SUMIF('Opening Balances'!$A$5:$A$6,A17,'Opening Balances'!$C$5:$C$6)</f>
        <v>0</v>
      </c>
      <c r="D17" s="25" t="n">
        <f aca="false">SUMIF('Opening Balances'!$A$5:$A$6,A17,'Opening Balances'!$D$5:$D$6)</f>
        <v>20000000</v>
      </c>
      <c r="E17" s="25" t="n">
        <f aca="false">SUMIF(Journal!$D$5:$D$64,A17,Journal!$H$5:$H$64)</f>
        <v>0</v>
      </c>
      <c r="F17" s="25" t="n">
        <f aca="false">SUMIF(Journal!$D$5:$D$64,A17,Journal!$I$5:$I$64)</f>
        <v>0</v>
      </c>
      <c r="G17" s="25" t="n">
        <f aca="false">IF((C17+E17)-(D17+F17)&gt;=0,(C17+E17)-(D17+F17),0)</f>
        <v>0</v>
      </c>
      <c r="H17" s="25" t="n">
        <f aca="false">IF((C17+E17)-(D17+F17)&lt;0,-((C17+E17)-(D17+F17)),0)</f>
        <v>20000000</v>
      </c>
    </row>
    <row r="18" customFormat="false" ht="15" hidden="false" customHeight="false" outlineLevel="0" collapsed="false">
      <c r="A18" s="10" t="n">
        <f aca="false">COA!$A$17</f>
        <v>3200</v>
      </c>
      <c r="B18" s="11" t="str">
        <f aca="false">COA!$B$17</f>
        <v>الأرباح المحتجزة</v>
      </c>
      <c r="C18" s="25" t="n">
        <f aca="false">SUMIF('Opening Balances'!$A$5:$A$6,A18,'Opening Balances'!$C$5:$C$6)</f>
        <v>0</v>
      </c>
      <c r="D18" s="25" t="n">
        <f aca="false">SUMIF('Opening Balances'!$A$5:$A$6,A18,'Opening Balances'!$D$5:$D$6)</f>
        <v>0</v>
      </c>
      <c r="E18" s="25" t="n">
        <f aca="false">SUMIF(Journal!$D$5:$D$64,A18,Journal!$H$5:$H$64)</f>
        <v>0</v>
      </c>
      <c r="F18" s="25" t="n">
        <f aca="false">SUMIF(Journal!$D$5:$D$64,A18,Journal!$I$5:$I$64)</f>
        <v>0</v>
      </c>
      <c r="G18" s="25" t="n">
        <f aca="false">IF((C18+E18)-(D18+F18)&gt;=0,(C18+E18)-(D18+F18),0)</f>
        <v>0</v>
      </c>
      <c r="H18" s="25" t="n">
        <f aca="false">IF((C18+E18)-(D18+F18)&lt;0,-((C18+E18)-(D18+F18)),0)</f>
        <v>0</v>
      </c>
    </row>
    <row r="19" customFormat="false" ht="15" hidden="false" customHeight="false" outlineLevel="0" collapsed="false">
      <c r="A19" s="10" t="n">
        <f aca="false">COA!$A$18</f>
        <v>3300</v>
      </c>
      <c r="B19" s="11" t="str">
        <f aca="false">COA!$B$18</f>
        <v>مسحوبات / توزيعات أرباح</v>
      </c>
      <c r="C19" s="25" t="n">
        <f aca="false">SUMIF('Opening Balances'!$A$5:$A$6,A19,'Opening Balances'!$C$5:$C$6)</f>
        <v>0</v>
      </c>
      <c r="D19" s="25" t="n">
        <f aca="false">SUMIF('Opening Balances'!$A$5:$A$6,A19,'Opening Balances'!$D$5:$D$6)</f>
        <v>0</v>
      </c>
      <c r="E19" s="25" t="n">
        <f aca="false">SUMIF(Journal!$D$5:$D$64,A19,Journal!$H$5:$H$64)</f>
        <v>0</v>
      </c>
      <c r="F19" s="25" t="n">
        <f aca="false">SUMIF(Journal!$D$5:$D$64,A19,Journal!$I$5:$I$64)</f>
        <v>0</v>
      </c>
      <c r="G19" s="25" t="n">
        <f aca="false">IF((C19+E19)-(D19+F19)&gt;=0,(C19+E19)-(D19+F19),0)</f>
        <v>0</v>
      </c>
      <c r="H19" s="25" t="n">
        <f aca="false">IF((C19+E19)-(D19+F19)&lt;0,-((C19+E19)-(D19+F19)),0)</f>
        <v>0</v>
      </c>
    </row>
    <row r="20" customFormat="false" ht="15" hidden="false" customHeight="false" outlineLevel="0" collapsed="false">
      <c r="A20" s="10" t="n">
        <f aca="false">COA!$A$19</f>
        <v>4100</v>
      </c>
      <c r="B20" s="11" t="str">
        <f aca="false">COA!$B$19</f>
        <v>إيرادات المبيعات</v>
      </c>
      <c r="C20" s="25" t="n">
        <f aca="false">SUMIF('Opening Balances'!$A$5:$A$6,A20,'Opening Balances'!$C$5:$C$6)</f>
        <v>0</v>
      </c>
      <c r="D20" s="25" t="n">
        <f aca="false">SUMIF('Opening Balances'!$A$5:$A$6,A20,'Opening Balances'!$D$5:$D$6)</f>
        <v>0</v>
      </c>
      <c r="E20" s="25" t="n">
        <f aca="false">SUMIF(Journal!$D$5:$D$64,A20,Journal!$H$5:$H$64)</f>
        <v>0</v>
      </c>
      <c r="F20" s="25" t="n">
        <f aca="false">SUMIF(Journal!$D$5:$D$64,A20,Journal!$I$5:$I$64)</f>
        <v>0</v>
      </c>
      <c r="G20" s="25" t="n">
        <f aca="false">IF((C20+E20)-(D20+F20)&gt;=0,(C20+E20)-(D20+F20),0)</f>
        <v>0</v>
      </c>
      <c r="H20" s="25" t="n">
        <f aca="false">IF((C20+E20)-(D20+F20)&lt;0,-((C20+E20)-(D20+F20)),0)</f>
        <v>0</v>
      </c>
    </row>
    <row r="21" customFormat="false" ht="15" hidden="false" customHeight="false" outlineLevel="0" collapsed="false">
      <c r="A21" s="10" t="n">
        <f aca="false">COA!$A$20</f>
        <v>4200</v>
      </c>
      <c r="B21" s="11" t="str">
        <f aca="false">COA!$B$20</f>
        <v>إيرادات أخرى</v>
      </c>
      <c r="C21" s="25" t="n">
        <f aca="false">SUMIF('Opening Balances'!$A$5:$A$6,A21,'Opening Balances'!$C$5:$C$6)</f>
        <v>0</v>
      </c>
      <c r="D21" s="25" t="n">
        <f aca="false">SUMIF('Opening Balances'!$A$5:$A$6,A21,'Opening Balances'!$D$5:$D$6)</f>
        <v>0</v>
      </c>
      <c r="E21" s="25" t="n">
        <f aca="false">SUMIF(Journal!$D$5:$D$64,A21,Journal!$H$5:$H$64)</f>
        <v>0</v>
      </c>
      <c r="F21" s="25" t="n">
        <f aca="false">SUMIF(Journal!$D$5:$D$64,A21,Journal!$I$5:$I$64)</f>
        <v>0</v>
      </c>
      <c r="G21" s="25" t="n">
        <f aca="false">IF((C21+E21)-(D21+F21)&gt;=0,(C21+E21)-(D21+F21),0)</f>
        <v>0</v>
      </c>
      <c r="H21" s="25" t="n">
        <f aca="false">IF((C21+E21)-(D21+F21)&lt;0,-((C21+E21)-(D21+F21)),0)</f>
        <v>0</v>
      </c>
    </row>
    <row r="22" customFormat="false" ht="15" hidden="false" customHeight="false" outlineLevel="0" collapsed="false">
      <c r="A22" s="10" t="n">
        <f aca="false">COA!$A$21</f>
        <v>5100</v>
      </c>
      <c r="B22" s="11" t="str">
        <f aca="false">COA!$B$21</f>
        <v>تكلفة البضاعة المباعة</v>
      </c>
      <c r="C22" s="25" t="n">
        <f aca="false">SUMIF('Opening Balances'!$A$5:$A$6,A22,'Opening Balances'!$C$5:$C$6)</f>
        <v>0</v>
      </c>
      <c r="D22" s="25" t="n">
        <f aca="false">SUMIF('Opening Balances'!$A$5:$A$6,A22,'Opening Balances'!$D$5:$D$6)</f>
        <v>0</v>
      </c>
      <c r="E22" s="25" t="n">
        <f aca="false">SUMIF(Journal!$D$5:$D$64,A22,Journal!$H$5:$H$64)</f>
        <v>0</v>
      </c>
      <c r="F22" s="25" t="n">
        <f aca="false">SUMIF(Journal!$D$5:$D$64,A22,Journal!$I$5:$I$64)</f>
        <v>0</v>
      </c>
      <c r="G22" s="25" t="n">
        <f aca="false">IF((C22+E22)-(D22+F22)&gt;=0,(C22+E22)-(D22+F22),0)</f>
        <v>0</v>
      </c>
      <c r="H22" s="25" t="n">
        <f aca="false">IF((C22+E22)-(D22+F22)&lt;0,-((C22+E22)-(D22+F22)),0)</f>
        <v>0</v>
      </c>
    </row>
    <row r="23" customFormat="false" ht="15" hidden="false" customHeight="false" outlineLevel="0" collapsed="false">
      <c r="A23" s="10" t="n">
        <f aca="false">COA!$A$22</f>
        <v>5200</v>
      </c>
      <c r="B23" s="11" t="str">
        <f aca="false">COA!$B$22</f>
        <v>رواتب وأجور</v>
      </c>
      <c r="C23" s="25" t="n">
        <f aca="false">SUMIF('Opening Balances'!$A$5:$A$6,A23,'Opening Balances'!$C$5:$C$6)</f>
        <v>0</v>
      </c>
      <c r="D23" s="25" t="n">
        <f aca="false">SUMIF('Opening Balances'!$A$5:$A$6,A23,'Opening Balances'!$D$5:$D$6)</f>
        <v>0</v>
      </c>
      <c r="E23" s="25" t="n">
        <f aca="false">SUMIF(Journal!$D$5:$D$64,A23,Journal!$H$5:$H$64)</f>
        <v>0</v>
      </c>
      <c r="F23" s="25" t="n">
        <f aca="false">SUMIF(Journal!$D$5:$D$64,A23,Journal!$I$5:$I$64)</f>
        <v>0</v>
      </c>
      <c r="G23" s="25" t="n">
        <f aca="false">IF((C23+E23)-(D23+F23)&gt;=0,(C23+E23)-(D23+F23),0)</f>
        <v>0</v>
      </c>
      <c r="H23" s="25" t="n">
        <f aca="false">IF((C23+E23)-(D23+F23)&lt;0,-((C23+E23)-(D23+F23)),0)</f>
        <v>0</v>
      </c>
    </row>
    <row r="24" customFormat="false" ht="15" hidden="false" customHeight="false" outlineLevel="0" collapsed="false">
      <c r="A24" s="10" t="n">
        <f aca="false">COA!$A$23</f>
        <v>5300</v>
      </c>
      <c r="B24" s="11" t="str">
        <f aca="false">COA!$B$23</f>
        <v>إيجار</v>
      </c>
      <c r="C24" s="25" t="n">
        <f aca="false">SUMIF('Opening Balances'!$A$5:$A$6,A24,'Opening Balances'!$C$5:$C$6)</f>
        <v>0</v>
      </c>
      <c r="D24" s="25" t="n">
        <f aca="false">SUMIF('Opening Balances'!$A$5:$A$6,A24,'Opening Balances'!$D$5:$D$6)</f>
        <v>0</v>
      </c>
      <c r="E24" s="25" t="n">
        <f aca="false">SUMIF(Journal!$D$5:$D$64,A24,Journal!$H$5:$H$64)</f>
        <v>0</v>
      </c>
      <c r="F24" s="25" t="n">
        <f aca="false">SUMIF(Journal!$D$5:$D$64,A24,Journal!$I$5:$I$64)</f>
        <v>0</v>
      </c>
      <c r="G24" s="25" t="n">
        <f aca="false">IF((C24+E24)-(D24+F24)&gt;=0,(C24+E24)-(D24+F24),0)</f>
        <v>0</v>
      </c>
      <c r="H24" s="25" t="n">
        <f aca="false">IF((C24+E24)-(D24+F24)&lt;0,-((C24+E24)-(D24+F24)),0)</f>
        <v>0</v>
      </c>
    </row>
    <row r="25" customFormat="false" ht="15" hidden="false" customHeight="false" outlineLevel="0" collapsed="false">
      <c r="A25" s="10" t="n">
        <f aca="false">COA!$A$24</f>
        <v>5400</v>
      </c>
      <c r="B25" s="11" t="str">
        <f aca="false">COA!$B$24</f>
        <v>خدمات (كهرباء واتصالات)</v>
      </c>
      <c r="C25" s="25" t="n">
        <f aca="false">SUMIF('Opening Balances'!$A$5:$A$6,A25,'Opening Balances'!$C$5:$C$6)</f>
        <v>0</v>
      </c>
      <c r="D25" s="25" t="n">
        <f aca="false">SUMIF('Opening Balances'!$A$5:$A$6,A25,'Opening Balances'!$D$5:$D$6)</f>
        <v>0</v>
      </c>
      <c r="E25" s="25" t="n">
        <f aca="false">SUMIF(Journal!$D$5:$D$64,A25,Journal!$H$5:$H$64)</f>
        <v>0</v>
      </c>
      <c r="F25" s="25" t="n">
        <f aca="false">SUMIF(Journal!$D$5:$D$64,A25,Journal!$I$5:$I$64)</f>
        <v>0</v>
      </c>
      <c r="G25" s="25" t="n">
        <f aca="false">IF((C25+E25)-(D25+F25)&gt;=0,(C25+E25)-(D25+F25),0)</f>
        <v>0</v>
      </c>
      <c r="H25" s="25" t="n">
        <f aca="false">IF((C25+E25)-(D25+F25)&lt;0,-((C25+E25)-(D25+F25)),0)</f>
        <v>0</v>
      </c>
    </row>
    <row r="26" customFormat="false" ht="15" hidden="false" customHeight="false" outlineLevel="0" collapsed="false">
      <c r="A26" s="10" t="n">
        <f aca="false">COA!$A$25</f>
        <v>5500</v>
      </c>
      <c r="B26" s="11" t="str">
        <f aca="false">COA!$B$25</f>
        <v>مصروفات تسويق</v>
      </c>
      <c r="C26" s="25" t="n">
        <f aca="false">SUMIF('Opening Balances'!$A$5:$A$6,A26,'Opening Balances'!$C$5:$C$6)</f>
        <v>0</v>
      </c>
      <c r="D26" s="25" t="n">
        <f aca="false">SUMIF('Opening Balances'!$A$5:$A$6,A26,'Opening Balances'!$D$5:$D$6)</f>
        <v>0</v>
      </c>
      <c r="E26" s="25" t="n">
        <f aca="false">SUMIF(Journal!$D$5:$D$64,A26,Journal!$H$5:$H$64)</f>
        <v>0</v>
      </c>
      <c r="F26" s="25" t="n">
        <f aca="false">SUMIF(Journal!$D$5:$D$64,A26,Journal!$I$5:$I$64)</f>
        <v>0</v>
      </c>
      <c r="G26" s="25" t="n">
        <f aca="false">IF((C26+E26)-(D26+F26)&gt;=0,(C26+E26)-(D26+F26),0)</f>
        <v>0</v>
      </c>
      <c r="H26" s="25" t="n">
        <f aca="false">IF((C26+E26)-(D26+F26)&lt;0,-((C26+E26)-(D26+F26)),0)</f>
        <v>0</v>
      </c>
    </row>
    <row r="27" customFormat="false" ht="15" hidden="false" customHeight="false" outlineLevel="0" collapsed="false">
      <c r="A27" s="10" t="n">
        <f aca="false">COA!$A$26</f>
        <v>5600</v>
      </c>
      <c r="B27" s="11" t="str">
        <f aca="false">COA!$B$26</f>
        <v>مصروفات إدارية عامة</v>
      </c>
      <c r="C27" s="25" t="n">
        <f aca="false">SUMIF('Opening Balances'!$A$5:$A$6,A27,'Opening Balances'!$C$5:$C$6)</f>
        <v>0</v>
      </c>
      <c r="D27" s="25" t="n">
        <f aca="false">SUMIF('Opening Balances'!$A$5:$A$6,A27,'Opening Balances'!$D$5:$D$6)</f>
        <v>0</v>
      </c>
      <c r="E27" s="25" t="n">
        <f aca="false">SUMIF(Journal!$D$5:$D$64,A27,Journal!$H$5:$H$64)</f>
        <v>0</v>
      </c>
      <c r="F27" s="25" t="n">
        <f aca="false">SUMIF(Journal!$D$5:$D$64,A27,Journal!$I$5:$I$64)</f>
        <v>0</v>
      </c>
      <c r="G27" s="25" t="n">
        <f aca="false">IF((C27+E27)-(D27+F27)&gt;=0,(C27+E27)-(D27+F27),0)</f>
        <v>0</v>
      </c>
      <c r="H27" s="25" t="n">
        <f aca="false">IF((C27+E27)-(D27+F27)&lt;0,-((C27+E27)-(D27+F27)),0)</f>
        <v>0</v>
      </c>
    </row>
    <row r="28" customFormat="false" ht="15" hidden="false" customHeight="false" outlineLevel="0" collapsed="false">
      <c r="A28" s="10" t="n">
        <f aca="false">COA!$A$27</f>
        <v>5700</v>
      </c>
      <c r="B28" s="11" t="str">
        <f aca="false">COA!$B$27</f>
        <v>إهلاك</v>
      </c>
      <c r="C28" s="25" t="n">
        <f aca="false">SUMIF('Opening Balances'!$A$5:$A$6,A28,'Opening Balances'!$C$5:$C$6)</f>
        <v>0</v>
      </c>
      <c r="D28" s="25" t="n">
        <f aca="false">SUMIF('Opening Balances'!$A$5:$A$6,A28,'Opening Balances'!$D$5:$D$6)</f>
        <v>0</v>
      </c>
      <c r="E28" s="25" t="n">
        <f aca="false">SUMIF(Journal!$D$5:$D$64,A28,Journal!$H$5:$H$64)</f>
        <v>0</v>
      </c>
      <c r="F28" s="25" t="n">
        <f aca="false">SUMIF(Journal!$D$5:$D$64,A28,Journal!$I$5:$I$64)</f>
        <v>0</v>
      </c>
      <c r="G28" s="25" t="n">
        <f aca="false">IF((C28+E28)-(D28+F28)&gt;=0,(C28+E28)-(D28+F28),0)</f>
        <v>0</v>
      </c>
      <c r="H28" s="25" t="n">
        <f aca="false">IF((C28+E28)-(D28+F28)&lt;0,-((C28+E28)-(D28+F28)),0)</f>
        <v>0</v>
      </c>
    </row>
    <row r="29" customFormat="false" ht="15" hidden="false" customHeight="false" outlineLevel="0" collapsed="false">
      <c r="A29" s="10" t="n">
        <f aca="false">COA!$A$28</f>
        <v>5800</v>
      </c>
      <c r="B29" s="11" t="str">
        <f aca="false">COA!$B$28</f>
        <v>مصروفات تمويل (فوائد بنكية)</v>
      </c>
      <c r="C29" s="25" t="n">
        <f aca="false">SUMIF('Opening Balances'!$A$5:$A$6,A29,'Opening Balances'!$C$5:$C$6)</f>
        <v>0</v>
      </c>
      <c r="D29" s="25" t="n">
        <f aca="false">SUMIF('Opening Balances'!$A$5:$A$6,A29,'Opening Balances'!$D$5:$D$6)</f>
        <v>0</v>
      </c>
      <c r="E29" s="25" t="n">
        <f aca="false">SUMIF(Journal!$D$5:$D$64,A29,Journal!$H$5:$H$64)</f>
        <v>0</v>
      </c>
      <c r="F29" s="25" t="n">
        <f aca="false">SUMIF(Journal!$D$5:$D$64,A29,Journal!$I$5:$I$64)</f>
        <v>0</v>
      </c>
      <c r="G29" s="25" t="n">
        <f aca="false">IF((C29+E29)-(D29+F29)&gt;=0,(C29+E29)-(D29+F29),0)</f>
        <v>0</v>
      </c>
      <c r="H29" s="25" t="n">
        <f aca="false">IF((C29+E29)-(D29+F29)&lt;0,-((C29+E29)-(D29+F29)),0)</f>
        <v>0</v>
      </c>
    </row>
    <row r="30" customFormat="false" ht="15" hidden="false" customHeight="true" outlineLevel="0" collapsed="false">
      <c r="A30" s="16" t="s">
        <v>70</v>
      </c>
      <c r="B30" s="16"/>
      <c r="C30" s="17" t="n">
        <f aca="false">SUM(C5:C29)</f>
        <v>20000000</v>
      </c>
      <c r="D30" s="17" t="n">
        <f aca="false">SUM(D5:D29)</f>
        <v>20000000</v>
      </c>
      <c r="E30" s="17" t="n">
        <f aca="false">SUM(E5:E29)</f>
        <v>0</v>
      </c>
      <c r="F30" s="17" t="n">
        <f aca="false">SUM(F5:F29)</f>
        <v>0</v>
      </c>
      <c r="G30" s="17" t="n">
        <f aca="false">SUM(G5:G29)</f>
        <v>20000000</v>
      </c>
      <c r="H30" s="17" t="n">
        <f aca="false">SUM(H5:H29)</f>
        <v>20000000</v>
      </c>
    </row>
    <row r="31" customFormat="false" ht="15" hidden="false" customHeight="true" outlineLevel="0" collapsed="false">
      <c r="A31" s="11" t="s">
        <v>102</v>
      </c>
      <c r="B31" s="11"/>
      <c r="C31" s="10" t="str">
        <f aca="false">IF(AND(ROUND(C30-D30,2)=0,ROUND(E30-F30,2)=0,ROUND(G30-H30,2)=0),"متوازن","غير متوازن")</f>
        <v>متوازن</v>
      </c>
      <c r="D31" s="10"/>
      <c r="E31" s="10"/>
      <c r="F31" s="10"/>
      <c r="G31" s="10"/>
      <c r="H31" s="10"/>
    </row>
    <row r="33" customFormat="false" ht="15" hidden="false" customHeight="true" outlineLevel="0" collapsed="false">
      <c r="A33" s="2" t="s">
        <v>20</v>
      </c>
      <c r="B33" s="2"/>
      <c r="C33" s="2"/>
      <c r="D33" s="2"/>
      <c r="E33" s="2"/>
      <c r="F33" s="2"/>
      <c r="G33" s="2"/>
      <c r="H33" s="2"/>
    </row>
  </sheetData>
  <mergeCells count="6">
    <mergeCell ref="A1:I1"/>
    <mergeCell ref="A2:I2"/>
    <mergeCell ref="A30:B30"/>
    <mergeCell ref="A31:B31"/>
    <mergeCell ref="C31:H31"/>
    <mergeCell ref="A33:H33"/>
  </mergeCells>
  <conditionalFormatting sqref="C31">
    <cfRule type="cellIs" priority="2" operator="equal" aboveAverage="0" equalAverage="0" bottom="0" percent="0" rank="0" text="" dxfId="0">
      <formula>"غير متوازن"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103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9" t="s">
        <v>104</v>
      </c>
      <c r="B3" s="9" t="s">
        <v>105</v>
      </c>
      <c r="C3" s="9" t="s">
        <v>106</v>
      </c>
      <c r="D3" s="9" t="s">
        <v>107</v>
      </c>
      <c r="E3" s="9" t="s">
        <v>26</v>
      </c>
    </row>
    <row r="4" customFormat="false" ht="15" hidden="false" customHeight="false" outlineLevel="0" collapsed="false">
      <c r="A4" s="14" t="s">
        <v>108</v>
      </c>
      <c r="B4" s="20" t="s">
        <v>109</v>
      </c>
      <c r="C4" s="19" t="s">
        <v>110</v>
      </c>
      <c r="D4" s="26" t="n">
        <v>30</v>
      </c>
      <c r="E4" s="11"/>
    </row>
    <row r="5" customFormat="false" ht="15" hidden="false" customHeight="false" outlineLevel="0" collapsed="false">
      <c r="A5" s="27" t="s">
        <v>111</v>
      </c>
      <c r="B5" s="20" t="s">
        <v>112</v>
      </c>
      <c r="C5" s="19" t="s">
        <v>110</v>
      </c>
      <c r="D5" s="26" t="n">
        <v>30</v>
      </c>
      <c r="E5" s="11"/>
    </row>
    <row r="6" customFormat="false" ht="15" hidden="false" customHeight="false" outlineLevel="0" collapsed="false">
      <c r="A6" s="27" t="s">
        <v>113</v>
      </c>
      <c r="B6" s="20" t="s">
        <v>114</v>
      </c>
      <c r="C6" s="19" t="s">
        <v>110</v>
      </c>
      <c r="D6" s="26" t="n">
        <v>30</v>
      </c>
      <c r="E6" s="11"/>
    </row>
    <row r="7" customFormat="false" ht="15" hidden="false" customHeight="false" outlineLevel="0" collapsed="false">
      <c r="A7" s="27" t="s">
        <v>115</v>
      </c>
      <c r="B7" s="20" t="s">
        <v>116</v>
      </c>
      <c r="C7" s="19" t="s">
        <v>110</v>
      </c>
      <c r="D7" s="26" t="n">
        <v>30</v>
      </c>
      <c r="E7" s="11"/>
    </row>
    <row r="8" customFormat="false" ht="15" hidden="false" customHeight="false" outlineLevel="0" collapsed="false">
      <c r="A8" s="27" t="s">
        <v>117</v>
      </c>
      <c r="B8" s="20" t="s">
        <v>118</v>
      </c>
      <c r="C8" s="19" t="s">
        <v>110</v>
      </c>
      <c r="D8" s="26" t="n">
        <v>30</v>
      </c>
      <c r="E8" s="11"/>
    </row>
    <row r="9" customFormat="false" ht="15" hidden="false" customHeight="false" outlineLevel="0" collapsed="false">
      <c r="A9" s="27" t="s">
        <v>119</v>
      </c>
      <c r="B9" s="20" t="s">
        <v>120</v>
      </c>
      <c r="C9" s="19" t="s">
        <v>110</v>
      </c>
      <c r="D9" s="26" t="n">
        <v>30</v>
      </c>
      <c r="E9" s="11"/>
    </row>
    <row r="10" customFormat="false" ht="15" hidden="false" customHeight="false" outlineLevel="0" collapsed="false">
      <c r="A10" s="27" t="s">
        <v>121</v>
      </c>
      <c r="B10" s="20" t="s">
        <v>122</v>
      </c>
      <c r="C10" s="19" t="s">
        <v>110</v>
      </c>
      <c r="D10" s="26" t="n">
        <v>30</v>
      </c>
      <c r="E10" s="11"/>
    </row>
    <row r="11" customFormat="false" ht="15" hidden="false" customHeight="false" outlineLevel="0" collapsed="false">
      <c r="A11" s="27" t="s">
        <v>123</v>
      </c>
      <c r="B11" s="20" t="s">
        <v>124</v>
      </c>
      <c r="C11" s="19" t="s">
        <v>110</v>
      </c>
      <c r="D11" s="26" t="n">
        <v>30</v>
      </c>
      <c r="E11" s="11"/>
    </row>
    <row r="12" customFormat="false" ht="15" hidden="false" customHeight="false" outlineLevel="0" collapsed="false">
      <c r="A12" s="27" t="s">
        <v>125</v>
      </c>
      <c r="B12" s="20" t="s">
        <v>126</v>
      </c>
      <c r="C12" s="19" t="s">
        <v>110</v>
      </c>
      <c r="D12" s="26" t="n">
        <v>30</v>
      </c>
      <c r="E12" s="11"/>
    </row>
    <row r="13" customFormat="false" ht="15" hidden="false" customHeight="false" outlineLevel="0" collapsed="false">
      <c r="A13" s="27" t="s">
        <v>127</v>
      </c>
      <c r="B13" s="20" t="s">
        <v>128</v>
      </c>
      <c r="C13" s="19" t="s">
        <v>110</v>
      </c>
      <c r="D13" s="26" t="n">
        <v>30</v>
      </c>
      <c r="E13" s="11"/>
    </row>
    <row r="15" customFormat="false" ht="15" hidden="false" customHeight="true" outlineLevel="0" collapsed="false">
      <c r="A15" s="2" t="s">
        <v>20</v>
      </c>
      <c r="B15" s="2"/>
      <c r="C15" s="2"/>
      <c r="D15" s="2"/>
      <c r="E15" s="2"/>
    </row>
  </sheetData>
  <mergeCells count="2">
    <mergeCell ref="A1:F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129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9" t="s">
        <v>104</v>
      </c>
      <c r="B3" s="9" t="s">
        <v>130</v>
      </c>
      <c r="C3" s="9" t="s">
        <v>131</v>
      </c>
      <c r="D3" s="9" t="s">
        <v>107</v>
      </c>
      <c r="E3" s="9" t="s">
        <v>26</v>
      </c>
    </row>
    <row r="4" customFormat="false" ht="15" hidden="false" customHeight="false" outlineLevel="0" collapsed="false">
      <c r="A4" s="14" t="s">
        <v>132</v>
      </c>
      <c r="B4" s="20" t="s">
        <v>133</v>
      </c>
      <c r="C4" s="20" t="s">
        <v>134</v>
      </c>
      <c r="D4" s="26" t="n">
        <v>30</v>
      </c>
      <c r="E4" s="11"/>
    </row>
    <row r="5" customFormat="false" ht="15" hidden="false" customHeight="false" outlineLevel="0" collapsed="false">
      <c r="A5" s="27" t="s">
        <v>135</v>
      </c>
      <c r="B5" s="20" t="s">
        <v>136</v>
      </c>
      <c r="C5" s="20" t="s">
        <v>137</v>
      </c>
      <c r="D5" s="26" t="n">
        <v>30</v>
      </c>
      <c r="E5" s="11"/>
    </row>
    <row r="6" customFormat="false" ht="15" hidden="false" customHeight="false" outlineLevel="0" collapsed="false">
      <c r="A6" s="27" t="s">
        <v>138</v>
      </c>
      <c r="B6" s="20" t="s">
        <v>139</v>
      </c>
      <c r="C6" s="20" t="s">
        <v>140</v>
      </c>
      <c r="D6" s="26" t="n">
        <v>30</v>
      </c>
      <c r="E6" s="11"/>
    </row>
    <row r="7" customFormat="false" ht="15" hidden="false" customHeight="false" outlineLevel="0" collapsed="false">
      <c r="A7" s="27" t="s">
        <v>141</v>
      </c>
      <c r="B7" s="20" t="s">
        <v>142</v>
      </c>
      <c r="C7" s="20" t="s">
        <v>61</v>
      </c>
      <c r="D7" s="26" t="n">
        <v>30</v>
      </c>
      <c r="E7" s="11"/>
    </row>
    <row r="8" customFormat="false" ht="15" hidden="false" customHeight="false" outlineLevel="0" collapsed="false">
      <c r="A8" s="27" t="s">
        <v>143</v>
      </c>
      <c r="B8" s="20" t="s">
        <v>144</v>
      </c>
      <c r="C8" s="20" t="s">
        <v>145</v>
      </c>
      <c r="D8" s="26" t="n">
        <v>30</v>
      </c>
      <c r="E8" s="11"/>
    </row>
    <row r="10" customFormat="false" ht="15" hidden="false" customHeight="true" outlineLevel="0" collapsed="false">
      <c r="A10" s="2" t="s">
        <v>20</v>
      </c>
      <c r="B10" s="2"/>
      <c r="C10" s="2"/>
      <c r="D10" s="2"/>
      <c r="E10" s="2"/>
    </row>
  </sheetData>
  <mergeCells count="2">
    <mergeCell ref="A1:F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5" min="3" style="0" width="16"/>
  </cols>
  <sheetData>
    <row r="1" customFormat="false" ht="25.5" hidden="false" customHeight="true" outlineLevel="0" collapsed="false">
      <c r="A1" s="1" t="s">
        <v>146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7" t="s">
        <v>147</v>
      </c>
      <c r="B3" s="7"/>
      <c r="C3" s="7"/>
      <c r="D3" s="7"/>
      <c r="E3" s="7"/>
    </row>
    <row r="4" customFormat="false" ht="21.75" hidden="false" customHeight="true" outlineLevel="0" collapsed="false">
      <c r="A4" s="9" t="s">
        <v>104</v>
      </c>
      <c r="B4" s="9" t="s">
        <v>105</v>
      </c>
      <c r="C4" s="9" t="s">
        <v>29</v>
      </c>
      <c r="D4" s="9" t="s">
        <v>38</v>
      </c>
      <c r="E4" s="9" t="s">
        <v>148</v>
      </c>
    </row>
    <row r="5" customFormat="false" ht="15" hidden="false" customHeight="false" outlineLevel="0" collapsed="false">
      <c r="A5" s="10" t="str">
        <f aca="false">Customers!A4</f>
        <v>C001</v>
      </c>
      <c r="B5" s="11" t="str">
        <f aca="false">Customers!B4</f>
        <v>عميل تدريبي رقم 1</v>
      </c>
      <c r="C5" s="25" t="n">
        <f aca="false">SUMIFS(Journal!$H$5:$H$64,Journal!$F$5:$F$64,A5)</f>
        <v>0</v>
      </c>
      <c r="D5" s="25" t="n">
        <f aca="false">SUMIFS(Journal!$I$5:$I$64,Journal!$F$5:$F$64,A5)</f>
        <v>0</v>
      </c>
      <c r="E5" s="25" t="n">
        <f aca="false">C5-D5</f>
        <v>0</v>
      </c>
    </row>
    <row r="6" customFormat="false" ht="15" hidden="false" customHeight="false" outlineLevel="0" collapsed="false">
      <c r="A6" s="10" t="str">
        <f aca="false">Customers!A5</f>
        <v>C002</v>
      </c>
      <c r="B6" s="11" t="str">
        <f aca="false">Customers!B5</f>
        <v>عميل تدريبي رقم 2</v>
      </c>
      <c r="C6" s="25" t="n">
        <f aca="false">SUMIFS(Journal!$H$5:$H$64,Journal!$F$5:$F$64,A6)</f>
        <v>0</v>
      </c>
      <c r="D6" s="25" t="n">
        <f aca="false">SUMIFS(Journal!$I$5:$I$64,Journal!$F$5:$F$64,A6)</f>
        <v>0</v>
      </c>
      <c r="E6" s="25" t="n">
        <f aca="false">C6-D6</f>
        <v>0</v>
      </c>
    </row>
    <row r="7" customFormat="false" ht="15" hidden="false" customHeight="false" outlineLevel="0" collapsed="false">
      <c r="A7" s="10" t="str">
        <f aca="false">Customers!A6</f>
        <v>C003</v>
      </c>
      <c r="B7" s="11" t="str">
        <f aca="false">Customers!B6</f>
        <v>عميل تدريبي رقم 3</v>
      </c>
      <c r="C7" s="25" t="n">
        <f aca="false">SUMIFS(Journal!$H$5:$H$64,Journal!$F$5:$F$64,A7)</f>
        <v>0</v>
      </c>
      <c r="D7" s="25" t="n">
        <f aca="false">SUMIFS(Journal!$I$5:$I$64,Journal!$F$5:$F$64,A7)</f>
        <v>0</v>
      </c>
      <c r="E7" s="25" t="n">
        <f aca="false">C7-D7</f>
        <v>0</v>
      </c>
    </row>
    <row r="8" customFormat="false" ht="15" hidden="false" customHeight="false" outlineLevel="0" collapsed="false">
      <c r="A8" s="10" t="str">
        <f aca="false">Customers!A7</f>
        <v>C004</v>
      </c>
      <c r="B8" s="11" t="str">
        <f aca="false">Customers!B7</f>
        <v>عميل تدريبي رقم 4</v>
      </c>
      <c r="C8" s="25" t="n">
        <f aca="false">SUMIFS(Journal!$H$5:$H$64,Journal!$F$5:$F$64,A8)</f>
        <v>0</v>
      </c>
      <c r="D8" s="25" t="n">
        <f aca="false">SUMIFS(Journal!$I$5:$I$64,Journal!$F$5:$F$64,A8)</f>
        <v>0</v>
      </c>
      <c r="E8" s="25" t="n">
        <f aca="false">C8-D8</f>
        <v>0</v>
      </c>
    </row>
    <row r="9" customFormat="false" ht="15" hidden="false" customHeight="false" outlineLevel="0" collapsed="false">
      <c r="A9" s="10" t="str">
        <f aca="false">Customers!A8</f>
        <v>C005</v>
      </c>
      <c r="B9" s="11" t="str">
        <f aca="false">Customers!B8</f>
        <v>عميل تدريبي رقم 5</v>
      </c>
      <c r="C9" s="25" t="n">
        <f aca="false">SUMIFS(Journal!$H$5:$H$64,Journal!$F$5:$F$64,A9)</f>
        <v>0</v>
      </c>
      <c r="D9" s="25" t="n">
        <f aca="false">SUMIFS(Journal!$I$5:$I$64,Journal!$F$5:$F$64,A9)</f>
        <v>0</v>
      </c>
      <c r="E9" s="25" t="n">
        <f aca="false">C9-D9</f>
        <v>0</v>
      </c>
    </row>
    <row r="10" customFormat="false" ht="15" hidden="false" customHeight="false" outlineLevel="0" collapsed="false">
      <c r="A10" s="10" t="str">
        <f aca="false">Customers!A9</f>
        <v>C006</v>
      </c>
      <c r="B10" s="11" t="str">
        <f aca="false">Customers!B9</f>
        <v>عميل تدريبي رقم 6</v>
      </c>
      <c r="C10" s="25" t="n">
        <f aca="false">SUMIFS(Journal!$H$5:$H$64,Journal!$F$5:$F$64,A10)</f>
        <v>0</v>
      </c>
      <c r="D10" s="25" t="n">
        <f aca="false">SUMIFS(Journal!$I$5:$I$64,Journal!$F$5:$F$64,A10)</f>
        <v>0</v>
      </c>
      <c r="E10" s="25" t="n">
        <f aca="false">C10-D10</f>
        <v>0</v>
      </c>
    </row>
    <row r="11" customFormat="false" ht="15" hidden="false" customHeight="false" outlineLevel="0" collapsed="false">
      <c r="A11" s="10" t="str">
        <f aca="false">Customers!A10</f>
        <v>C007</v>
      </c>
      <c r="B11" s="11" t="str">
        <f aca="false">Customers!B10</f>
        <v>عميل تدريبي رقم 7</v>
      </c>
      <c r="C11" s="25" t="n">
        <f aca="false">SUMIFS(Journal!$H$5:$H$64,Journal!$F$5:$F$64,A11)</f>
        <v>0</v>
      </c>
      <c r="D11" s="25" t="n">
        <f aca="false">SUMIFS(Journal!$I$5:$I$64,Journal!$F$5:$F$64,A11)</f>
        <v>0</v>
      </c>
      <c r="E11" s="25" t="n">
        <f aca="false">C11-D11</f>
        <v>0</v>
      </c>
    </row>
    <row r="12" customFormat="false" ht="15" hidden="false" customHeight="false" outlineLevel="0" collapsed="false">
      <c r="A12" s="10" t="str">
        <f aca="false">Customers!A11</f>
        <v>C008</v>
      </c>
      <c r="B12" s="11" t="str">
        <f aca="false">Customers!B11</f>
        <v>عميل تدريبي رقم 8</v>
      </c>
      <c r="C12" s="25" t="n">
        <f aca="false">SUMIFS(Journal!$H$5:$H$64,Journal!$F$5:$F$64,A12)</f>
        <v>0</v>
      </c>
      <c r="D12" s="25" t="n">
        <f aca="false">SUMIFS(Journal!$I$5:$I$64,Journal!$F$5:$F$64,A12)</f>
        <v>0</v>
      </c>
      <c r="E12" s="25" t="n">
        <f aca="false">C12-D12</f>
        <v>0</v>
      </c>
    </row>
    <row r="13" customFormat="false" ht="15" hidden="false" customHeight="false" outlineLevel="0" collapsed="false">
      <c r="A13" s="10" t="str">
        <f aca="false">Customers!A12</f>
        <v>C009</v>
      </c>
      <c r="B13" s="11" t="str">
        <f aca="false">Customers!B12</f>
        <v>عميل تدريبي رقم 9</v>
      </c>
      <c r="C13" s="25" t="n">
        <f aca="false">SUMIFS(Journal!$H$5:$H$64,Journal!$F$5:$F$64,A13)</f>
        <v>0</v>
      </c>
      <c r="D13" s="25" t="n">
        <f aca="false">SUMIFS(Journal!$I$5:$I$64,Journal!$F$5:$F$64,A13)</f>
        <v>0</v>
      </c>
      <c r="E13" s="25" t="n">
        <f aca="false">C13-D13</f>
        <v>0</v>
      </c>
    </row>
    <row r="14" customFormat="false" ht="15" hidden="false" customHeight="false" outlineLevel="0" collapsed="false">
      <c r="A14" s="10" t="str">
        <f aca="false">Customers!A13</f>
        <v>C010</v>
      </c>
      <c r="B14" s="11" t="str">
        <f aca="false">Customers!B13</f>
        <v>عميل تدريبي رقم 10</v>
      </c>
      <c r="C14" s="25" t="n">
        <f aca="false">SUMIFS(Journal!$H$5:$H$64,Journal!$F$5:$F$64,A14)</f>
        <v>0</v>
      </c>
      <c r="D14" s="25" t="n">
        <f aca="false">SUMIFS(Journal!$I$5:$I$64,Journal!$F$5:$F$64,A14)</f>
        <v>0</v>
      </c>
      <c r="E14" s="25" t="n">
        <f aca="false">C14-D14</f>
        <v>0</v>
      </c>
    </row>
    <row r="15" customFormat="false" ht="15" hidden="false" customHeight="true" outlineLevel="0" collapsed="false">
      <c r="A15" s="16" t="s">
        <v>70</v>
      </c>
      <c r="B15" s="16"/>
      <c r="C15" s="17" t="n">
        <f aca="false">SUM(C5:C14)</f>
        <v>0</v>
      </c>
      <c r="D15" s="17" t="n">
        <f aca="false">SUM(D5:D14)</f>
        <v>0</v>
      </c>
      <c r="E15" s="17" t="n">
        <f aca="false">SUM(E5:E14)</f>
        <v>0</v>
      </c>
    </row>
    <row r="17" customFormat="false" ht="15" hidden="false" customHeight="true" outlineLevel="0" collapsed="false">
      <c r="A17" s="7" t="s">
        <v>149</v>
      </c>
      <c r="B17" s="7"/>
      <c r="C17" s="7"/>
      <c r="D17" s="7"/>
      <c r="E17" s="7"/>
    </row>
    <row r="18" customFormat="false" ht="21.75" hidden="false" customHeight="true" outlineLevel="0" collapsed="false">
      <c r="A18" s="9" t="s">
        <v>104</v>
      </c>
      <c r="B18" s="9" t="s">
        <v>105</v>
      </c>
      <c r="C18" s="9" t="s">
        <v>29</v>
      </c>
      <c r="D18" s="9" t="s">
        <v>38</v>
      </c>
      <c r="E18" s="9" t="s">
        <v>148</v>
      </c>
    </row>
    <row r="19" customFormat="false" ht="15" hidden="false" customHeight="false" outlineLevel="0" collapsed="false">
      <c r="A19" s="10" t="str">
        <f aca="false">Suppliers!A4</f>
        <v>S001</v>
      </c>
      <c r="B19" s="11" t="str">
        <f aca="false">Suppliers!B4</f>
        <v>مورد المعدات</v>
      </c>
      <c r="C19" s="25" t="n">
        <f aca="false">SUMIFS(Journal!$H$5:$H$64,Journal!$F$5:$F$64,A19)</f>
        <v>0</v>
      </c>
      <c r="D19" s="25" t="n">
        <f aca="false">SUMIFS(Journal!$I$5:$I$64,Journal!$F$5:$F$64,A19)</f>
        <v>0</v>
      </c>
      <c r="E19" s="25" t="n">
        <f aca="false">D19-C19</f>
        <v>0</v>
      </c>
    </row>
    <row r="20" customFormat="false" ht="15" hidden="false" customHeight="false" outlineLevel="0" collapsed="false">
      <c r="A20" s="10" t="str">
        <f aca="false">Suppliers!A5</f>
        <v>S002</v>
      </c>
      <c r="B20" s="11" t="str">
        <f aca="false">Suppliers!B5</f>
        <v>مورد الأجهزة</v>
      </c>
      <c r="C20" s="25" t="n">
        <f aca="false">SUMIFS(Journal!$H$5:$H$64,Journal!$F$5:$F$64,A20)</f>
        <v>0</v>
      </c>
      <c r="D20" s="25" t="n">
        <f aca="false">SUMIFS(Journal!$I$5:$I$64,Journal!$F$5:$F$64,A20)</f>
        <v>0</v>
      </c>
      <c r="E20" s="25" t="n">
        <f aca="false">D20-C20</f>
        <v>0</v>
      </c>
    </row>
    <row r="21" customFormat="false" ht="15" hidden="false" customHeight="false" outlineLevel="0" collapsed="false">
      <c r="A21" s="10" t="str">
        <f aca="false">Suppliers!A6</f>
        <v>S003</v>
      </c>
      <c r="B21" s="11" t="str">
        <f aca="false">Suppliers!B6</f>
        <v>مورد خدمات الربط والاتصالات</v>
      </c>
      <c r="C21" s="25" t="n">
        <f aca="false">SUMIFS(Journal!$H$5:$H$64,Journal!$F$5:$F$64,A21)</f>
        <v>0</v>
      </c>
      <c r="D21" s="25" t="n">
        <f aca="false">SUMIFS(Journal!$I$5:$I$64,Journal!$F$5:$F$64,A21)</f>
        <v>0</v>
      </c>
      <c r="E21" s="25" t="n">
        <f aca="false">D21-C21</f>
        <v>0</v>
      </c>
    </row>
    <row r="22" customFormat="false" ht="15" hidden="false" customHeight="false" outlineLevel="0" collapsed="false">
      <c r="A22" s="10" t="str">
        <f aca="false">Suppliers!A7</f>
        <v>S004</v>
      </c>
      <c r="B22" s="11" t="str">
        <f aca="false">Suppliers!B7</f>
        <v>المؤجّر - عقد الإيجار</v>
      </c>
      <c r="C22" s="25" t="n">
        <f aca="false">SUMIFS(Journal!$H$5:$H$64,Journal!$F$5:$F$64,A22)</f>
        <v>0</v>
      </c>
      <c r="D22" s="25" t="n">
        <f aca="false">SUMIFS(Journal!$I$5:$I$64,Journal!$F$5:$F$64,A22)</f>
        <v>0</v>
      </c>
      <c r="E22" s="25" t="n">
        <f aca="false">D22-C22</f>
        <v>0</v>
      </c>
    </row>
    <row r="23" customFormat="false" ht="15" hidden="false" customHeight="false" outlineLevel="0" collapsed="false">
      <c r="A23" s="10" t="str">
        <f aca="false">Suppliers!A8</f>
        <v>S005</v>
      </c>
      <c r="B23" s="11" t="str">
        <f aca="false">Suppliers!B8</f>
        <v>مورد الخدمات العامة</v>
      </c>
      <c r="C23" s="25" t="n">
        <f aca="false">SUMIFS(Journal!$H$5:$H$64,Journal!$F$5:$F$64,A23)</f>
        <v>0</v>
      </c>
      <c r="D23" s="25" t="n">
        <f aca="false">SUMIFS(Journal!$I$5:$I$64,Journal!$F$5:$F$64,A23)</f>
        <v>0</v>
      </c>
      <c r="E23" s="25" t="n">
        <f aca="false">D23-C23</f>
        <v>0</v>
      </c>
    </row>
    <row r="24" customFormat="false" ht="15" hidden="false" customHeight="true" outlineLevel="0" collapsed="false">
      <c r="A24" s="16" t="s">
        <v>70</v>
      </c>
      <c r="B24" s="16"/>
      <c r="C24" s="17" t="n">
        <f aca="false">SUM(C19:C23)</f>
        <v>0</v>
      </c>
      <c r="D24" s="17" t="n">
        <f aca="false">SUM(D19:D23)</f>
        <v>0</v>
      </c>
      <c r="E24" s="17" t="n">
        <f aca="false">SUM(E19:E23)</f>
        <v>0</v>
      </c>
    </row>
    <row r="26" customFormat="false" ht="15" hidden="false" customHeight="true" outlineLevel="0" collapsed="false">
      <c r="A26" s="2" t="s">
        <v>20</v>
      </c>
      <c r="B26" s="2"/>
      <c r="C26" s="2"/>
      <c r="D26" s="2"/>
      <c r="E26" s="2"/>
    </row>
  </sheetData>
  <mergeCells count="6">
    <mergeCell ref="A1:F1"/>
    <mergeCell ref="A3:E3"/>
    <mergeCell ref="A15:B15"/>
    <mergeCell ref="A17:E17"/>
    <mergeCell ref="A24:B24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E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1" t="s">
        <v>150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151</v>
      </c>
      <c r="B2" s="2"/>
      <c r="C2" s="2"/>
      <c r="D2" s="2"/>
      <c r="E2" s="2"/>
    </row>
    <row r="4" customFormat="false" ht="15" hidden="false" customHeight="false" outlineLevel="0" collapsed="false">
      <c r="A4" s="23" t="s">
        <v>152</v>
      </c>
      <c r="B4" s="25" t="n">
        <f aca="false">'Trial Balance'!G5-'Trial Balance'!H5</f>
        <v>20000000</v>
      </c>
    </row>
    <row r="5" customFormat="false" ht="15" hidden="false" customHeight="false" outlineLevel="0" collapsed="false">
      <c r="A5" s="23" t="s">
        <v>153</v>
      </c>
      <c r="B5" s="15" t="n">
        <v>20000000</v>
      </c>
    </row>
    <row r="6" customFormat="false" ht="15" hidden="false" customHeight="false" outlineLevel="0" collapsed="false">
      <c r="A6" s="23" t="s">
        <v>154</v>
      </c>
      <c r="B6" s="28" t="n">
        <v>0</v>
      </c>
    </row>
    <row r="7" customFormat="false" ht="15" hidden="false" customHeight="false" outlineLevel="0" collapsed="false">
      <c r="A7" s="23" t="s">
        <v>155</v>
      </c>
      <c r="B7" s="28" t="n">
        <v>0</v>
      </c>
    </row>
    <row r="8" customFormat="false" ht="15" hidden="false" customHeight="false" outlineLevel="0" collapsed="false">
      <c r="A8" s="22" t="s">
        <v>156</v>
      </c>
      <c r="B8" s="29" t="n">
        <f aca="false">B4+B6-B7</f>
        <v>20000000</v>
      </c>
    </row>
    <row r="9" customFormat="false" ht="15" hidden="false" customHeight="false" outlineLevel="0" collapsed="false">
      <c r="A9" s="23" t="s">
        <v>157</v>
      </c>
      <c r="B9" s="25" t="n">
        <f aca="false">B8-B5</f>
        <v>0</v>
      </c>
    </row>
    <row r="11" customFormat="false" ht="15" hidden="false" customHeight="true" outlineLevel="0" collapsed="false">
      <c r="A11" s="2" t="s">
        <v>20</v>
      </c>
      <c r="B11" s="2"/>
      <c r="C11" s="2"/>
      <c r="D11" s="2"/>
      <c r="E11" s="2"/>
    </row>
  </sheetData>
  <mergeCells count="3">
    <mergeCell ref="A1:E1"/>
    <mergeCell ref="A2:E2"/>
    <mergeCell ref="A11:E11"/>
  </mergeCells>
  <conditionalFormatting sqref="B9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E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1" t="s">
        <v>158</v>
      </c>
      <c r="B1" s="1"/>
      <c r="C1" s="1"/>
      <c r="D1" s="1"/>
      <c r="E1" s="1"/>
    </row>
    <row r="3" customFormat="false" ht="15" hidden="false" customHeight="false" outlineLevel="0" collapsed="false">
      <c r="A3" s="23" t="s">
        <v>159</v>
      </c>
      <c r="B3" s="30" t="n">
        <v>0.15</v>
      </c>
    </row>
    <row r="4" customFormat="false" ht="15" hidden="false" customHeight="false" outlineLevel="0" collapsed="false">
      <c r="A4" s="23" t="s">
        <v>160</v>
      </c>
      <c r="B4" s="25" t="n">
        <f aca="false">'Trial Balance'!G11-'Trial Balance'!H11</f>
        <v>0</v>
      </c>
    </row>
    <row r="5" customFormat="false" ht="15" hidden="false" customHeight="false" outlineLevel="0" collapsed="false">
      <c r="A5" s="23" t="s">
        <v>161</v>
      </c>
      <c r="B5" s="25" t="n">
        <f aca="false">'Trial Balance'!H14-'Trial Balance'!G14</f>
        <v>0</v>
      </c>
    </row>
    <row r="6" customFormat="false" ht="15" hidden="false" customHeight="false" outlineLevel="0" collapsed="false">
      <c r="A6" s="22" t="s">
        <v>162</v>
      </c>
      <c r="B6" s="29" t="n">
        <f aca="false">B5-B4</f>
        <v>0</v>
      </c>
    </row>
    <row r="8" customFormat="false" ht="15" hidden="false" customHeight="true" outlineLevel="0" collapsed="false">
      <c r="A8" s="2" t="s">
        <v>20</v>
      </c>
      <c r="B8" s="2"/>
      <c r="C8" s="2"/>
      <c r="D8" s="2"/>
      <c r="E8" s="2"/>
    </row>
  </sheetData>
  <mergeCells count="2">
    <mergeCell ref="A1:E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8" min="4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164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9" t="s">
        <v>165</v>
      </c>
      <c r="B4" s="9" t="s">
        <v>166</v>
      </c>
      <c r="C4" s="9" t="s">
        <v>167</v>
      </c>
      <c r="D4" s="9" t="s">
        <v>168</v>
      </c>
      <c r="E4" s="9" t="s">
        <v>169</v>
      </c>
      <c r="F4" s="9" t="s">
        <v>170</v>
      </c>
      <c r="G4" s="9" t="s">
        <v>171</v>
      </c>
      <c r="H4" s="9" t="s">
        <v>172</v>
      </c>
      <c r="I4" s="9" t="s">
        <v>173</v>
      </c>
    </row>
    <row r="5" customFormat="false" ht="15" hidden="false" customHeight="false" outlineLevel="0" collapsed="false">
      <c r="A5" s="19"/>
      <c r="B5" s="20"/>
      <c r="C5" s="19"/>
      <c r="D5" s="28"/>
      <c r="E5" s="26"/>
      <c r="F5" s="20"/>
      <c r="G5" s="25" t="str">
        <f aca="false">IF(OR(D5="",E5="",E5=0),"",D5/(E5*12))</f>
        <v/>
      </c>
      <c r="H5" s="28"/>
      <c r="I5" s="25" t="str">
        <f aca="false">IF(D5="","",D5-IF(H5="",0,H5))</f>
        <v/>
      </c>
    </row>
    <row r="6" customFormat="false" ht="15" hidden="false" customHeight="false" outlineLevel="0" collapsed="false">
      <c r="A6" s="19"/>
      <c r="B6" s="20"/>
      <c r="C6" s="19"/>
      <c r="D6" s="28"/>
      <c r="E6" s="26"/>
      <c r="F6" s="20"/>
      <c r="G6" s="25" t="str">
        <f aca="false">IF(OR(D6="",E6="",E6=0),"",D6/(E6*12))</f>
        <v/>
      </c>
      <c r="H6" s="28"/>
      <c r="I6" s="25" t="str">
        <f aca="false">IF(D6="","",D6-IF(H6="",0,H6))</f>
        <v/>
      </c>
    </row>
    <row r="7" customFormat="false" ht="15" hidden="false" customHeight="false" outlineLevel="0" collapsed="false">
      <c r="A7" s="19"/>
      <c r="B7" s="20"/>
      <c r="C7" s="19"/>
      <c r="D7" s="28"/>
      <c r="E7" s="26"/>
      <c r="F7" s="20"/>
      <c r="G7" s="25" t="str">
        <f aca="false">IF(OR(D7="",E7="",E7=0),"",D7/(E7*12))</f>
        <v/>
      </c>
      <c r="H7" s="28"/>
      <c r="I7" s="25" t="str">
        <f aca="false">IF(D7="","",D7-IF(H7="",0,H7))</f>
        <v/>
      </c>
    </row>
    <row r="8" customFormat="false" ht="15" hidden="false" customHeight="false" outlineLevel="0" collapsed="false">
      <c r="A8" s="19"/>
      <c r="B8" s="20"/>
      <c r="C8" s="19"/>
      <c r="D8" s="28"/>
      <c r="E8" s="26"/>
      <c r="F8" s="20"/>
      <c r="G8" s="25" t="str">
        <f aca="false">IF(OR(D8="",E8="",E8=0),"",D8/(E8*12))</f>
        <v/>
      </c>
      <c r="H8" s="28"/>
      <c r="I8" s="25" t="str">
        <f aca="false">IF(D8="","",D8-IF(H8="",0,H8))</f>
        <v/>
      </c>
    </row>
    <row r="9" customFormat="false" ht="15" hidden="false" customHeight="false" outlineLevel="0" collapsed="false">
      <c r="A9" s="19"/>
      <c r="B9" s="20"/>
      <c r="C9" s="19"/>
      <c r="D9" s="28"/>
      <c r="E9" s="26"/>
      <c r="F9" s="20"/>
      <c r="G9" s="25" t="str">
        <f aca="false">IF(OR(D9="",E9="",E9=0),"",D9/(E9*12))</f>
        <v/>
      </c>
      <c r="H9" s="28"/>
      <c r="I9" s="25" t="str">
        <f aca="false">IF(D9="","",D9-IF(H9="",0,H9))</f>
        <v/>
      </c>
    </row>
    <row r="10" customFormat="false" ht="15" hidden="false" customHeight="false" outlineLevel="0" collapsed="false">
      <c r="A10" s="19"/>
      <c r="B10" s="20"/>
      <c r="C10" s="19"/>
      <c r="D10" s="28"/>
      <c r="E10" s="26"/>
      <c r="F10" s="20"/>
      <c r="G10" s="25" t="str">
        <f aca="false">IF(OR(D10="",E10="",E10=0),"",D10/(E10*12))</f>
        <v/>
      </c>
      <c r="H10" s="28"/>
      <c r="I10" s="25" t="str">
        <f aca="false">IF(D10="","",D10-IF(H10="",0,H10))</f>
        <v/>
      </c>
    </row>
    <row r="11" customFormat="false" ht="15" hidden="false" customHeight="false" outlineLevel="0" collapsed="false">
      <c r="A11" s="19"/>
      <c r="B11" s="20"/>
      <c r="C11" s="19"/>
      <c r="D11" s="28"/>
      <c r="E11" s="26"/>
      <c r="F11" s="20"/>
      <c r="G11" s="25" t="str">
        <f aca="false">IF(OR(D11="",E11="",E11=0),"",D11/(E11*12))</f>
        <v/>
      </c>
      <c r="H11" s="28"/>
      <c r="I11" s="25" t="str">
        <f aca="false">IF(D11="","",D11-IF(H11="",0,H11))</f>
        <v/>
      </c>
    </row>
    <row r="12" customFormat="false" ht="15" hidden="false" customHeight="false" outlineLevel="0" collapsed="false">
      <c r="A12" s="19"/>
      <c r="B12" s="20"/>
      <c r="C12" s="19"/>
      <c r="D12" s="28"/>
      <c r="E12" s="26"/>
      <c r="F12" s="20"/>
      <c r="G12" s="25" t="str">
        <f aca="false">IF(OR(D12="",E12="",E12=0),"",D12/(E12*12))</f>
        <v/>
      </c>
      <c r="H12" s="28"/>
      <c r="I12" s="25" t="str">
        <f aca="false">IF(D12="","",D12-IF(H12="",0,H12))</f>
        <v/>
      </c>
    </row>
    <row r="13" customFormat="false" ht="15" hidden="false" customHeight="false" outlineLevel="0" collapsed="false">
      <c r="A13" s="19"/>
      <c r="B13" s="20"/>
      <c r="C13" s="19"/>
      <c r="D13" s="28"/>
      <c r="E13" s="26"/>
      <c r="F13" s="20"/>
      <c r="G13" s="25" t="str">
        <f aca="false">IF(OR(D13="",E13="",E13=0),"",D13/(E13*12))</f>
        <v/>
      </c>
      <c r="H13" s="28"/>
      <c r="I13" s="25" t="str">
        <f aca="false">IF(D13="","",D13-IF(H13="",0,H13))</f>
        <v/>
      </c>
    </row>
    <row r="14" customFormat="false" ht="15" hidden="false" customHeight="false" outlineLevel="0" collapsed="false">
      <c r="A14" s="19"/>
      <c r="B14" s="20"/>
      <c r="C14" s="19"/>
      <c r="D14" s="28"/>
      <c r="E14" s="26"/>
      <c r="F14" s="20"/>
      <c r="G14" s="25" t="str">
        <f aca="false">IF(OR(D14="",E14="",E14=0),"",D14/(E14*12))</f>
        <v/>
      </c>
      <c r="H14" s="28"/>
      <c r="I14" s="25" t="str">
        <f aca="false">IF(D14="","",D14-IF(H14="",0,H14))</f>
        <v/>
      </c>
    </row>
    <row r="15" customFormat="false" ht="15" hidden="false" customHeight="false" outlineLevel="0" collapsed="false">
      <c r="A15" s="19"/>
      <c r="B15" s="20"/>
      <c r="C15" s="19"/>
      <c r="D15" s="28"/>
      <c r="E15" s="26"/>
      <c r="F15" s="20"/>
      <c r="G15" s="25" t="str">
        <f aca="false">IF(OR(D15="",E15="",E15=0),"",D15/(E15*12))</f>
        <v/>
      </c>
      <c r="H15" s="28"/>
      <c r="I15" s="25" t="str">
        <f aca="false">IF(D15="","",D15-IF(H15="",0,H15))</f>
        <v/>
      </c>
    </row>
    <row r="16" customFormat="false" ht="15" hidden="false" customHeight="false" outlineLevel="0" collapsed="false">
      <c r="A16" s="19"/>
      <c r="B16" s="20"/>
      <c r="C16" s="19"/>
      <c r="D16" s="28"/>
      <c r="E16" s="26"/>
      <c r="F16" s="20"/>
      <c r="G16" s="25" t="str">
        <f aca="false">IF(OR(D16="",E16="",E16=0),"",D16/(E16*12))</f>
        <v/>
      </c>
      <c r="H16" s="28"/>
      <c r="I16" s="25" t="str">
        <f aca="false">IF(D16="","",D16-IF(H16="",0,H16))</f>
        <v/>
      </c>
    </row>
    <row r="17" customFormat="false" ht="15" hidden="false" customHeight="false" outlineLevel="0" collapsed="false">
      <c r="A17" s="19"/>
      <c r="B17" s="20"/>
      <c r="C17" s="19"/>
      <c r="D17" s="28"/>
      <c r="E17" s="26"/>
      <c r="F17" s="20"/>
      <c r="G17" s="25" t="str">
        <f aca="false">IF(OR(D17="",E17="",E17=0),"",D17/(E17*12))</f>
        <v/>
      </c>
      <c r="H17" s="28"/>
      <c r="I17" s="25" t="str">
        <f aca="false">IF(D17="","",D17-IF(H17="",0,H17))</f>
        <v/>
      </c>
    </row>
    <row r="18" customFormat="false" ht="15" hidden="false" customHeight="false" outlineLevel="0" collapsed="false">
      <c r="A18" s="19"/>
      <c r="B18" s="20"/>
      <c r="C18" s="19"/>
      <c r="D18" s="28"/>
      <c r="E18" s="26"/>
      <c r="F18" s="20"/>
      <c r="G18" s="25" t="str">
        <f aca="false">IF(OR(D18="",E18="",E18=0),"",D18/(E18*12))</f>
        <v/>
      </c>
      <c r="H18" s="28"/>
      <c r="I18" s="25" t="str">
        <f aca="false">IF(D18="","",D18-IF(H18="",0,H18))</f>
        <v/>
      </c>
    </row>
    <row r="19" customFormat="false" ht="15" hidden="false" customHeight="false" outlineLevel="0" collapsed="false">
      <c r="A19" s="19"/>
      <c r="B19" s="20"/>
      <c r="C19" s="19"/>
      <c r="D19" s="28"/>
      <c r="E19" s="26"/>
      <c r="F19" s="20"/>
      <c r="G19" s="25" t="str">
        <f aca="false">IF(OR(D19="",E19="",E19=0),"",D19/(E19*12))</f>
        <v/>
      </c>
      <c r="H19" s="28"/>
      <c r="I19" s="25" t="str">
        <f aca="false">IF(D19="","",D19-IF(H19="",0,H19))</f>
        <v/>
      </c>
    </row>
    <row r="21" customFormat="false" ht="15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  <c r="I21" s="2"/>
    </row>
  </sheetData>
  <mergeCells count="3">
    <mergeCell ref="A1:I1"/>
    <mergeCell ref="A2:I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174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9" t="s">
        <v>175</v>
      </c>
      <c r="B3" s="9" t="s">
        <v>76</v>
      </c>
      <c r="C3" s="9" t="s">
        <v>176</v>
      </c>
      <c r="D3" s="9" t="s">
        <v>177</v>
      </c>
      <c r="E3" s="9" t="s">
        <v>178</v>
      </c>
      <c r="F3" s="9" t="s">
        <v>179</v>
      </c>
      <c r="G3" s="9" t="s">
        <v>26</v>
      </c>
    </row>
    <row r="4" customFormat="false" ht="15" hidden="false" customHeight="false" outlineLevel="0" collapsed="false">
      <c r="A4" s="10" t="n">
        <v>1</v>
      </c>
      <c r="B4" s="19"/>
      <c r="C4" s="20"/>
      <c r="D4" s="20"/>
      <c r="E4" s="19"/>
      <c r="F4" s="19"/>
      <c r="G4" s="11"/>
    </row>
    <row r="5" customFormat="false" ht="15" hidden="false" customHeight="false" outlineLevel="0" collapsed="false">
      <c r="A5" s="10" t="n">
        <v>2</v>
      </c>
      <c r="B5" s="19"/>
      <c r="C5" s="20"/>
      <c r="D5" s="20"/>
      <c r="E5" s="19"/>
      <c r="F5" s="19"/>
      <c r="G5" s="11"/>
    </row>
    <row r="6" customFormat="false" ht="15" hidden="false" customHeight="false" outlineLevel="0" collapsed="false">
      <c r="A6" s="10" t="n">
        <v>3</v>
      </c>
      <c r="B6" s="19"/>
      <c r="C6" s="20"/>
      <c r="D6" s="20"/>
      <c r="E6" s="19"/>
      <c r="F6" s="19"/>
      <c r="G6" s="11"/>
    </row>
    <row r="7" customFormat="false" ht="15" hidden="false" customHeight="false" outlineLevel="0" collapsed="false">
      <c r="A7" s="10" t="n">
        <v>4</v>
      </c>
      <c r="B7" s="19"/>
      <c r="C7" s="20"/>
      <c r="D7" s="20"/>
      <c r="E7" s="19"/>
      <c r="F7" s="19"/>
      <c r="G7" s="11"/>
    </row>
    <row r="8" customFormat="false" ht="15" hidden="false" customHeight="false" outlineLevel="0" collapsed="false">
      <c r="A8" s="10" t="n">
        <v>5</v>
      </c>
      <c r="B8" s="19"/>
      <c r="C8" s="20"/>
      <c r="D8" s="20"/>
      <c r="E8" s="19"/>
      <c r="F8" s="19"/>
      <c r="G8" s="11"/>
    </row>
    <row r="9" customFormat="false" ht="15" hidden="false" customHeight="false" outlineLevel="0" collapsed="false">
      <c r="A9" s="10" t="n">
        <v>6</v>
      </c>
      <c r="B9" s="19"/>
      <c r="C9" s="20"/>
      <c r="D9" s="20"/>
      <c r="E9" s="19"/>
      <c r="F9" s="19"/>
      <c r="G9" s="11"/>
    </row>
    <row r="10" customFormat="false" ht="15" hidden="false" customHeight="false" outlineLevel="0" collapsed="false">
      <c r="A10" s="10" t="n">
        <v>7</v>
      </c>
      <c r="B10" s="19"/>
      <c r="C10" s="20"/>
      <c r="D10" s="20"/>
      <c r="E10" s="19"/>
      <c r="F10" s="19"/>
      <c r="G10" s="11"/>
    </row>
    <row r="11" customFormat="false" ht="15" hidden="false" customHeight="false" outlineLevel="0" collapsed="false">
      <c r="A11" s="10" t="n">
        <v>8</v>
      </c>
      <c r="B11" s="19"/>
      <c r="C11" s="20"/>
      <c r="D11" s="20"/>
      <c r="E11" s="19"/>
      <c r="F11" s="19"/>
      <c r="G11" s="11"/>
    </row>
    <row r="12" customFormat="false" ht="15" hidden="false" customHeight="false" outlineLevel="0" collapsed="false">
      <c r="A12" s="10" t="n">
        <v>9</v>
      </c>
      <c r="B12" s="19"/>
      <c r="C12" s="20"/>
      <c r="D12" s="20"/>
      <c r="E12" s="19"/>
      <c r="F12" s="19"/>
      <c r="G12" s="11"/>
    </row>
    <row r="13" customFormat="false" ht="15" hidden="false" customHeight="false" outlineLevel="0" collapsed="false">
      <c r="A13" s="10" t="n">
        <v>10</v>
      </c>
      <c r="B13" s="19"/>
      <c r="C13" s="20"/>
      <c r="D13" s="20"/>
      <c r="E13" s="19"/>
      <c r="F13" s="19"/>
      <c r="G13" s="11"/>
    </row>
    <row r="14" customFormat="false" ht="15" hidden="false" customHeight="false" outlineLevel="0" collapsed="false">
      <c r="A14" s="10" t="n">
        <v>11</v>
      </c>
      <c r="B14" s="19"/>
      <c r="C14" s="20"/>
      <c r="D14" s="20"/>
      <c r="E14" s="19"/>
      <c r="F14" s="19"/>
      <c r="G14" s="11"/>
    </row>
    <row r="15" customFormat="false" ht="15" hidden="false" customHeight="false" outlineLevel="0" collapsed="false">
      <c r="A15" s="10" t="n">
        <v>12</v>
      </c>
      <c r="B15" s="19"/>
      <c r="C15" s="20"/>
      <c r="D15" s="20"/>
      <c r="E15" s="19"/>
      <c r="F15" s="19"/>
      <c r="G15" s="11"/>
    </row>
    <row r="16" customFormat="false" ht="15" hidden="false" customHeight="false" outlineLevel="0" collapsed="false">
      <c r="A16" s="10" t="n">
        <v>13</v>
      </c>
      <c r="B16" s="19"/>
      <c r="C16" s="20"/>
      <c r="D16" s="20"/>
      <c r="E16" s="19"/>
      <c r="F16" s="19"/>
      <c r="G16" s="11"/>
    </row>
    <row r="17" customFormat="false" ht="15" hidden="false" customHeight="false" outlineLevel="0" collapsed="false">
      <c r="A17" s="10" t="n">
        <v>14</v>
      </c>
      <c r="B17" s="19"/>
      <c r="C17" s="20"/>
      <c r="D17" s="20"/>
      <c r="E17" s="19"/>
      <c r="F17" s="19"/>
      <c r="G17" s="11"/>
    </row>
    <row r="18" customFormat="false" ht="15" hidden="false" customHeight="false" outlineLevel="0" collapsed="false">
      <c r="A18" s="10" t="n">
        <v>15</v>
      </c>
      <c r="B18" s="19"/>
      <c r="C18" s="20"/>
      <c r="D18" s="20"/>
      <c r="E18" s="19"/>
      <c r="F18" s="19"/>
      <c r="G18" s="11"/>
    </row>
    <row r="20" customFormat="false" ht="15" hidden="false" customHeight="true" outlineLevel="0" collapsed="false">
      <c r="A20" s="2" t="s">
        <v>20</v>
      </c>
      <c r="B20" s="2"/>
      <c r="C20" s="2"/>
      <c r="D20" s="2"/>
      <c r="E20" s="2"/>
      <c r="F20" s="2"/>
      <c r="G20" s="2"/>
    </row>
  </sheetData>
  <mergeCells count="2">
    <mergeCell ref="A1:G1"/>
    <mergeCell ref="A20:G20"/>
  </mergeCells>
  <conditionalFormatting sqref="E4:E18">
    <cfRule type="cellIs" priority="2" operator="equal" aboveAverage="0" equalAverage="0" bottom="0" percent="0" rank="0" text="" dxfId="1">
      <formula>"معتمد"</formula>
    </cfRule>
  </conditionalFormatting>
  <dataValidations count="1">
    <dataValidation allowBlank="true" errorStyle="stop" operator="between" showDropDown="false" showErrorMessage="false" showInputMessage="false" sqref="E4:E18" type="list">
      <formula1>"قيد الانتظار,معتمد,مرفوض"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1" t="s">
        <v>180</v>
      </c>
      <c r="B1" s="1"/>
      <c r="C1" s="1"/>
      <c r="D1" s="1"/>
    </row>
    <row r="2" customFormat="false" ht="15" hidden="false" customHeight="true" outlineLevel="0" collapsed="false">
      <c r="A2" s="2" t="s">
        <v>181</v>
      </c>
      <c r="B2" s="2"/>
      <c r="C2" s="2"/>
      <c r="D2" s="2"/>
    </row>
    <row r="4" customFormat="false" ht="15" hidden="false" customHeight="false" outlineLevel="0" collapsed="false">
      <c r="A4" s="23" t="s">
        <v>182</v>
      </c>
      <c r="B4" s="25" t="n">
        <f aca="false">SUMIFS(Journal!$I$5:$I$64,Journal!$D$5:$D$64,"&gt;=4100",Journal!$D$5:$D$64,"&lt;5000")-SUMIFS(Journal!$H$5:$H$64,Journal!$D$5:$D$64,"&gt;=4100",Journal!$D$5:$D$64,"&lt;5000")</f>
        <v>0</v>
      </c>
    </row>
    <row r="5" customFormat="false" ht="15" hidden="false" customHeight="false" outlineLevel="0" collapsed="false">
      <c r="A5" s="23" t="s">
        <v>183</v>
      </c>
      <c r="B5" s="25" t="n">
        <f aca="false">SUMIFS(Journal!$H$5:$H$64,Journal!$D$5:$D$64,"&gt;=5100",Journal!$D$5:$D$64,"&lt;6000")-SUMIFS(Journal!$I$5:$I$64,Journal!$D$5:$D$64,"&gt;=5100",Journal!$D$5:$D$64,"&lt;6000")</f>
        <v>0</v>
      </c>
    </row>
    <row r="6" customFormat="false" ht="15" hidden="false" customHeight="false" outlineLevel="0" collapsed="false">
      <c r="A6" s="22" t="s">
        <v>184</v>
      </c>
      <c r="B6" s="29" t="n">
        <f aca="false">B4-B5</f>
        <v>0</v>
      </c>
    </row>
    <row r="7" customFormat="false" ht="15" hidden="false" customHeight="false" outlineLevel="0" collapsed="false">
      <c r="A7" s="23" t="s">
        <v>185</v>
      </c>
      <c r="B7" s="25" t="n">
        <f aca="false">IF(B6&gt;0,B6*'Company Profile'!B9,0)</f>
        <v>0</v>
      </c>
    </row>
    <row r="8" customFormat="false" ht="15" hidden="false" customHeight="false" outlineLevel="0" collapsed="false">
      <c r="A8" s="31" t="s">
        <v>186</v>
      </c>
      <c r="B8" s="17" t="n">
        <f aca="false">B6-B7</f>
        <v>0</v>
      </c>
    </row>
    <row r="10" customFormat="false" ht="22.35" hidden="false" customHeight="true" outlineLevel="0" collapsed="false">
      <c r="A10" s="2" t="s">
        <v>187</v>
      </c>
      <c r="B10" s="2"/>
      <c r="C10" s="2"/>
      <c r="D10" s="2"/>
    </row>
    <row r="12" customFormat="false" ht="22.35" hidden="false" customHeight="true" outlineLevel="0" collapsed="false">
      <c r="A12" s="2" t="s">
        <v>20</v>
      </c>
      <c r="B12" s="2"/>
      <c r="C12" s="2"/>
      <c r="D12" s="2"/>
    </row>
  </sheetData>
  <mergeCells count="4">
    <mergeCell ref="A1:D1"/>
    <mergeCell ref="A2:D2"/>
    <mergeCell ref="A10:D10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1" t="s">
        <v>188</v>
      </c>
      <c r="B1" s="1"/>
      <c r="C1" s="1"/>
      <c r="D1" s="1"/>
    </row>
    <row r="2" customFormat="false" ht="15" hidden="false" customHeight="true" outlineLevel="0" collapsed="false">
      <c r="A2" s="2" t="s">
        <v>95</v>
      </c>
      <c r="B2" s="2"/>
      <c r="C2" s="2"/>
      <c r="D2" s="2"/>
    </row>
    <row r="4" customFormat="false" ht="15" hidden="false" customHeight="false" outlineLevel="0" collapsed="false">
      <c r="A4" s="22" t="s">
        <v>189</v>
      </c>
      <c r="B4" s="29" t="n">
        <f aca="false">SUMIFS('Trial Balance'!$G$5:$G$29,'Trial Balance'!$A$5:$A$29,"&gt;=1000",'Trial Balance'!$A$5:$A$29,"&lt;2000")-SUMIFS('Trial Balance'!$H$5:$H$29,'Trial Balance'!$A$5:$A$29,"&gt;=1000",'Trial Balance'!$A$5:$A$29,"&lt;2000")</f>
        <v>20000000</v>
      </c>
    </row>
    <row r="5" customFormat="false" ht="15" hidden="false" customHeight="false" outlineLevel="0" collapsed="false">
      <c r="A5" s="23" t="s">
        <v>190</v>
      </c>
      <c r="B5" s="25" t="n">
        <f aca="false">SUMIFS('Trial Balance'!$H$5:$H$29,'Trial Balance'!$A$5:$A$29,"&gt;=2000",'Trial Balance'!$A$5:$A$29,"&lt;3000")-SUMIFS('Trial Balance'!$G$5:$G$29,'Trial Balance'!$A$5:$A$29,"&gt;=2000",'Trial Balance'!$A$5:$A$29,"&lt;3000")</f>
        <v>0</v>
      </c>
    </row>
    <row r="6" customFormat="false" ht="15" hidden="false" customHeight="false" outlineLevel="0" collapsed="false">
      <c r="A6" s="23" t="s">
        <v>191</v>
      </c>
      <c r="B6" s="25" t="n">
        <f aca="false">SUMIFS('Trial Balance'!$H$5:$H$29,'Trial Balance'!$A$5:$A$29,"&gt;=3000",'Trial Balance'!$A$5:$A$29,"&lt;4000")-SUMIFS('Trial Balance'!$G$5:$G$29,'Trial Balance'!$A$5:$A$29,"&gt;=3000",'Trial Balance'!$A$5:$A$29,"&lt;4000")</f>
        <v>20000000</v>
      </c>
    </row>
    <row r="7" customFormat="false" ht="15" hidden="false" customHeight="false" outlineLevel="0" collapsed="false">
      <c r="A7" s="23" t="s">
        <v>192</v>
      </c>
      <c r="B7" s="32" t="n">
        <f aca="false">'Income Statement'!B6</f>
        <v>0</v>
      </c>
    </row>
    <row r="8" customFormat="false" ht="15" hidden="false" customHeight="false" outlineLevel="0" collapsed="false">
      <c r="A8" s="22" t="s">
        <v>193</v>
      </c>
      <c r="B8" s="29" t="n">
        <f aca="false">B6+B7</f>
        <v>20000000</v>
      </c>
    </row>
    <row r="9" customFormat="false" ht="15" hidden="false" customHeight="false" outlineLevel="0" collapsed="false">
      <c r="A9" s="31" t="s">
        <v>194</v>
      </c>
      <c r="B9" s="17" t="n">
        <f aca="false">B5+B8</f>
        <v>20000000</v>
      </c>
    </row>
    <row r="10" customFormat="false" ht="15" hidden="false" customHeight="false" outlineLevel="0" collapsed="false">
      <c r="A10" s="23" t="s">
        <v>195</v>
      </c>
      <c r="B10" s="10" t="str">
        <f aca="false">IF(ROUND(B4-B9,2)=0,"متوازن","غير متوازن")</f>
        <v>متوازن</v>
      </c>
    </row>
    <row r="12" customFormat="false" ht="22.35" hidden="false" customHeight="true" outlineLevel="0" collapsed="false">
      <c r="A12" s="2" t="s">
        <v>20</v>
      </c>
      <c r="B12" s="2"/>
      <c r="C12" s="2"/>
      <c r="D12" s="2"/>
    </row>
  </sheetData>
  <mergeCells count="3">
    <mergeCell ref="A1:D1"/>
    <mergeCell ref="A2:D2"/>
    <mergeCell ref="A12:D12"/>
  </mergeCells>
  <conditionalFormatting sqref="B10">
    <cfRule type="cellIs" priority="2" operator="equal" aboveAverage="0" equalAverage="0" bottom="0" percent="0" rank="0" text="" dxfId="0">
      <formula>"غير متوازن"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196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9" t="s">
        <v>74</v>
      </c>
      <c r="B3" s="9" t="s">
        <v>197</v>
      </c>
      <c r="C3" s="9" t="s">
        <v>178</v>
      </c>
      <c r="D3" s="9" t="s">
        <v>198</v>
      </c>
      <c r="E3" s="9" t="s">
        <v>199</v>
      </c>
      <c r="F3" s="9" t="s">
        <v>26</v>
      </c>
    </row>
    <row r="4" customFormat="false" ht="15" hidden="false" customHeight="false" outlineLevel="0" collapsed="false">
      <c r="A4" s="10" t="n">
        <v>1</v>
      </c>
      <c r="B4" s="11" t="s">
        <v>200</v>
      </c>
      <c r="C4" s="19" t="s">
        <v>201</v>
      </c>
      <c r="D4" s="19"/>
      <c r="E4" s="19"/>
      <c r="F4" s="11"/>
    </row>
    <row r="5" customFormat="false" ht="15" hidden="false" customHeight="false" outlineLevel="0" collapsed="false">
      <c r="A5" s="10" t="n">
        <v>2</v>
      </c>
      <c r="B5" s="11" t="s">
        <v>202</v>
      </c>
      <c r="C5" s="19" t="s">
        <v>201</v>
      </c>
      <c r="D5" s="19"/>
      <c r="E5" s="19"/>
      <c r="F5" s="11"/>
    </row>
    <row r="6" customFormat="false" ht="15" hidden="false" customHeight="false" outlineLevel="0" collapsed="false">
      <c r="A6" s="10" t="n">
        <v>3</v>
      </c>
      <c r="B6" s="11" t="s">
        <v>203</v>
      </c>
      <c r="C6" s="19" t="s">
        <v>201</v>
      </c>
      <c r="D6" s="19"/>
      <c r="E6" s="19"/>
      <c r="F6" s="11"/>
    </row>
    <row r="7" customFormat="false" ht="15" hidden="false" customHeight="false" outlineLevel="0" collapsed="false">
      <c r="A7" s="10" t="n">
        <v>4</v>
      </c>
      <c r="B7" s="11" t="s">
        <v>204</v>
      </c>
      <c r="C7" s="19" t="s">
        <v>201</v>
      </c>
      <c r="D7" s="19"/>
      <c r="E7" s="19"/>
      <c r="F7" s="11"/>
    </row>
    <row r="8" customFormat="false" ht="15" hidden="false" customHeight="false" outlineLevel="0" collapsed="false">
      <c r="A8" s="10" t="n">
        <v>5</v>
      </c>
      <c r="B8" s="11" t="s">
        <v>205</v>
      </c>
      <c r="C8" s="19" t="s">
        <v>201</v>
      </c>
      <c r="D8" s="19"/>
      <c r="E8" s="19"/>
      <c r="F8" s="11"/>
    </row>
    <row r="9" customFormat="false" ht="15" hidden="false" customHeight="false" outlineLevel="0" collapsed="false">
      <c r="A9" s="10" t="n">
        <v>6</v>
      </c>
      <c r="B9" s="11" t="s">
        <v>206</v>
      </c>
      <c r="C9" s="19" t="s">
        <v>201</v>
      </c>
      <c r="D9" s="19"/>
      <c r="E9" s="19"/>
      <c r="F9" s="11"/>
    </row>
    <row r="11" customFormat="false" ht="15" hidden="false" customHeight="true" outlineLevel="0" collapsed="false">
      <c r="A11" s="2" t="s">
        <v>20</v>
      </c>
      <c r="B11" s="2"/>
      <c r="C11" s="2"/>
      <c r="D11" s="2"/>
      <c r="E11" s="2"/>
      <c r="F11" s="2"/>
    </row>
  </sheetData>
  <mergeCells count="2">
    <mergeCell ref="A1:F1"/>
    <mergeCell ref="A11:F11"/>
  </mergeCells>
  <conditionalFormatting sqref="C4:C9">
    <cfRule type="cellIs" priority="2" operator="equal" aboveAverage="0" equalAverage="0" bottom="0" percent="0" rank="0" text="" dxfId="1">
      <formula>"مكتمل"</formula>
    </cfRule>
    <cfRule type="cellIs" priority="3" operator="equal" aboveAverage="0" equalAverage="0" bottom="0" percent="0" rank="0" text="" dxfId="2">
      <formula>"قيد التنفيذ"</formula>
    </cfRule>
  </conditionalFormatting>
  <dataValidations count="1">
    <dataValidation allowBlank="true" errorStyle="stop" operator="between" showDropDown="false" showErrorMessage="false" showInputMessage="false" sqref="C4:C9" type="list">
      <formula1>"لم يبدأ,قيد التنفيذ,مكتمل"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E2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5" min="4" style="0" width="40"/>
  </cols>
  <sheetData>
    <row r="1" customFormat="false" ht="25.5" hidden="false" customHeight="true" outlineLevel="0" collapsed="false">
      <c r="A1" s="1" t="s">
        <v>207</v>
      </c>
      <c r="B1" s="1"/>
      <c r="C1" s="1"/>
      <c r="D1" s="1"/>
      <c r="E1" s="1"/>
    </row>
    <row r="3" customFormat="false" ht="21.75" hidden="false" customHeight="true" outlineLevel="0" collapsed="false">
      <c r="A3" s="9" t="s">
        <v>76</v>
      </c>
      <c r="B3" s="9" t="s">
        <v>208</v>
      </c>
      <c r="C3" s="9" t="s">
        <v>209</v>
      </c>
      <c r="D3" s="9" t="s">
        <v>176</v>
      </c>
      <c r="E3" s="9" t="s">
        <v>210</v>
      </c>
    </row>
    <row r="4" customFormat="false" ht="42" hidden="false" customHeight="true" outlineLevel="0" collapsed="false">
      <c r="A4" s="10" t="s">
        <v>7</v>
      </c>
      <c r="B4" s="10" t="s">
        <v>211</v>
      </c>
      <c r="C4" s="11" t="s">
        <v>212</v>
      </c>
      <c r="D4" s="11" t="s">
        <v>213</v>
      </c>
      <c r="E4" s="11" t="s">
        <v>214</v>
      </c>
    </row>
    <row r="5" customFormat="false" ht="15" hidden="false" customHeight="false" outlineLevel="0" collapsed="false">
      <c r="A5" s="11"/>
      <c r="B5" s="11"/>
      <c r="C5" s="11"/>
      <c r="D5" s="11"/>
      <c r="E5" s="11"/>
    </row>
    <row r="6" customFormat="false" ht="15" hidden="false" customHeight="false" outlineLevel="0" collapsed="false">
      <c r="A6" s="11"/>
      <c r="B6" s="11"/>
      <c r="C6" s="11"/>
      <c r="D6" s="11"/>
      <c r="E6" s="11"/>
    </row>
    <row r="7" customFormat="false" ht="15" hidden="false" customHeight="false" outlineLevel="0" collapsed="false">
      <c r="A7" s="11"/>
      <c r="B7" s="11"/>
      <c r="C7" s="11"/>
      <c r="D7" s="11"/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1"/>
      <c r="B12" s="11"/>
      <c r="C12" s="11"/>
      <c r="D12" s="11"/>
      <c r="E12" s="11"/>
    </row>
    <row r="13" customFormat="false" ht="15" hidden="false" customHeight="false" outlineLevel="0" collapsed="false">
      <c r="A13" s="11"/>
      <c r="B13" s="11"/>
      <c r="C13" s="11"/>
      <c r="D13" s="11"/>
      <c r="E13" s="11"/>
    </row>
    <row r="14" customFormat="false" ht="15" hidden="false" customHeight="false" outlineLevel="0" collapsed="false">
      <c r="A14" s="11"/>
      <c r="B14" s="11"/>
      <c r="C14" s="11"/>
      <c r="D14" s="11"/>
      <c r="E14" s="11"/>
    </row>
    <row r="15" customFormat="false" ht="15" hidden="false" customHeight="false" outlineLevel="0" collapsed="false">
      <c r="A15" s="11"/>
      <c r="B15" s="11"/>
      <c r="C15" s="11"/>
      <c r="D15" s="11"/>
      <c r="E15" s="11"/>
    </row>
    <row r="16" customFormat="false" ht="15" hidden="false" customHeight="false" outlineLevel="0" collapsed="false">
      <c r="A16" s="11"/>
      <c r="B16" s="11"/>
      <c r="C16" s="11"/>
      <c r="D16" s="11"/>
      <c r="E16" s="11"/>
    </row>
    <row r="17" customFormat="false" ht="15" hidden="false" customHeight="false" outlineLevel="0" collapsed="false">
      <c r="A17" s="11"/>
      <c r="B17" s="11"/>
      <c r="C17" s="11"/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5" customFormat="false" ht="15" hidden="false" customHeight="true" outlineLevel="0" collapsed="false">
      <c r="A25" s="2" t="s">
        <v>20</v>
      </c>
      <c r="B25" s="2"/>
      <c r="C25" s="2"/>
      <c r="D25" s="2"/>
      <c r="E25" s="2"/>
    </row>
  </sheetData>
  <mergeCells count="2">
    <mergeCell ref="A1:E1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2026-09-08T10:44:02Z</dcterms:created>
  <dc:creator>openpyxl</dc:creator>
  <dc:description/>
  <dc:language>en-US</dc:language>
  <cp:lastModifiedBy/>
  <dcterms:modified xsi:type="dcterms:W3CDTF">2026-09-08T10:44:02Z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